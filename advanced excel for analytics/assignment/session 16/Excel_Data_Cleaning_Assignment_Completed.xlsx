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eea2c28c1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561b655ae94f6f"/>
    <x:sheet xmlns:r="http://schemas.openxmlformats.org/officeDocument/2006/relationships" name="Task1_Orders" sheetId="2" r:id="R187ae0e28de84bd0"/>
    <x:sheet xmlns:r="http://schemas.openxmlformats.org/officeDocument/2006/relationships" name="Task1_Cleaned" sheetId="3" r:id="R7f92398ed94548aa"/>
    <x:sheet xmlns:r="http://schemas.openxmlformats.org/officeDocument/2006/relationships" name="Task2_Addresses" sheetId="4" r:id="R1172bc51f8a84a86"/>
    <x:sheet xmlns:r="http://schemas.openxmlformats.org/officeDocument/2006/relationships" name="Task3_FlashFill" sheetId="5" r:id="Rd2fa2dc84e0d4269"/>
    <x:sheet xmlns:r="http://schemas.openxmlformats.org/officeDocument/2006/relationships" name="Task4_PhoneReplace" sheetId="6" r:id="R66a8ba74d5d2400e"/>
    <x:sheet xmlns:r="http://schemas.openxmlformats.org/officeDocument/2006/relationships" name="Task5_IPL_Errors" sheetId="7" r:id="Rb9bc05be8671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2" fontId="0" fillId="0" borderId="3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7b015d95d4415" /><Relationship Type="http://schemas.openxmlformats.org/officeDocument/2006/relationships/theme" Target="/xl/theme/theme1.xml" Id="R3d6a1d2399e54aa2" /><Relationship Type="http://schemas.openxmlformats.org/officeDocument/2006/relationships/sharedStrings" Target="/xl/sharedStrings.xml" Id="R50500976435746c6" /><Relationship Type="http://schemas.openxmlformats.org/officeDocument/2006/relationships/worksheet" Target="/xl/worksheets/sheet1.xml" Id="R73561b655ae94f6f" /><Relationship Type="http://schemas.openxmlformats.org/officeDocument/2006/relationships/worksheet" Target="/xl/worksheets/sheet2.xml" Id="R187ae0e28de84bd0" /><Relationship Type="http://schemas.openxmlformats.org/officeDocument/2006/relationships/worksheet" Target="/xl/worksheets/sheet3.xml" Id="R7f92398ed94548aa" /><Relationship Type="http://schemas.openxmlformats.org/officeDocument/2006/relationships/worksheet" Target="/xl/worksheets/sheet4.xml" Id="R1172bc51f8a84a86" /><Relationship Type="http://schemas.openxmlformats.org/officeDocument/2006/relationships/worksheet" Target="/xl/worksheets/sheet5.xml" Id="Rd2fa2dc84e0d4269" /><Relationship Type="http://schemas.openxmlformats.org/officeDocument/2006/relationships/worksheet" Target="/xl/worksheets/sheet6.xml" Id="R66a8ba74d5d2400e" /><Relationship Type="http://schemas.openxmlformats.org/officeDocument/2006/relationships/worksheet" Target="/xl/worksheets/sheet7.xml" Id="Rb9bc05be86714a0f" /></Relationships>
</file>

<file path=xl/tables/table1.xml><?xml version="1.0" encoding="utf-8"?>
<x:table xmlns:x="http://schemas.openxmlformats.org/spreadsheetml/2006/main" id="1" name="OrdersRawTable" displayName="OrdersRawTable" ref="A3:G33" headerRowCount="1" totalsRowCount="0" totalsRowShown="0">
  <x:tableColumns count="7">
    <x:tableColumn id="1" name="Order ID"/>
    <x:tableColumn id="2" name="Customer Name"/>
    <x:tableColumn id="3" name="Address"/>
    <x:tableColumn id="4" name="City"/>
    <x:tableColumn id="5" name="Product"/>
    <x:tableColumn id="6" name="Quantity"/>
    <x:tableColumn id="7" name="Order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CleanedTable" displayName="OrdersCleanedTable" ref="A3:H30" headerRowCount="1" totalsRowCount="0" totalsRowShown="0">
  <x:tableColumns count="8">
    <x:tableColumn id="1" name="Order ID"/>
    <x:tableColumn id="2" name="Customer Name"/>
    <x:tableColumn id="3" name="Address"/>
    <x:tableColumn id="4" name="City"/>
    <x:tableColumn id="5" name="Product"/>
    <x:tableColumn id="6" name="Quantity"/>
    <x:tableColumn id="7" name="Order Date"/>
    <x:tableColumn id="8" name="Duplicat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PLStatsTable" displayName="IPLStatsTable" ref="A3:G9" headerRowCount="1" totalsRowCount="0" totalsRowShown="0">
  <x:tableColumns count="7">
    <x:tableColumn id="1" name="Player"/>
    <x:tableColumn id="2" name="Runs"/>
    <x:tableColumn id="3" name="Matches"/>
    <x:tableColumn id="4" name="Runs/Match – Before"/>
    <x:tableColumn id="5" name="Issue"/>
    <x:tableColumn id="6" name="Runs/Match – Fixed"/>
    <x:tableColumn id="7" name="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5d348ca709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c6aceccb0449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9625e7c2a24d42c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30" hidden="0" customWidth="1"/>
    <x:col min="4" max="4" width="25" hidden="0" customWidth="1"/>
  </x:cols>
  <x:sheetData>
    <x:row r="1">
      <x:c r="A1" s="5" t="str">
        <x:v>Excel Data Cleaning Assignment – Completed Workbook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Task</x:v>
      </x:c>
      <x:c r="B3" s="14" t="str">
        <x:v>Completed Output</x:v>
      </x:c>
      <x:c r="C3" s="14" t="str">
        <x:v>Excel Feature</x:v>
      </x:c>
      <x:c r="D3" s="14" t="str">
        <x:v>Where to Review</x:v>
      </x:c>
    </x:row>
    <x:row r="4">
      <x:c r="A4" s="20" t="n">
        <x:v>1</x:v>
      </x:c>
      <x:c r="B4" s="21" t="str">
        <x:v>30 online orders; duplicate order records removed</x:v>
      </x:c>
      <x:c r="C4" s="21" t="str">
        <x:v>Remove Duplicates</x:v>
      </x:c>
      <x:c r="D4" s="22" t="str">
        <x:v>Task1_Orders + Task1_Cleaned</x:v>
      </x:c>
    </x:row>
    <x:row r="5">
      <x:c r="A5" s="23" t="n">
        <x:v>2</x:v>
      </x:c>
      <x:c r="B5" s="24" t="str">
        <x:v>Addresses split into 4 fields</x:v>
      </x:c>
      <x:c r="C5" s="24" t="str">
        <x:v>Text to Columns</x:v>
      </x:c>
      <x:c r="D5" s="25" t="str">
        <x:v>Task2_Addresses</x:v>
      </x:c>
    </x:row>
    <x:row r="6">
      <x:c r="A6" s="23" t="n">
        <x:v>3</x:v>
      </x:c>
      <x:c r="B6" s="24" t="str">
        <x:v>Usernames extracted from emails</x:v>
      </x:c>
      <x:c r="C6" s="24" t="str">
        <x:v>Flash Fill</x:v>
      </x:c>
      <x:c r="D6" s="25" t="str">
        <x:v>Task3_FlashFill</x:v>
      </x:c>
    </x:row>
    <x:row r="7">
      <x:c r="A7" s="23" t="n">
        <x:v>4</x:v>
      </x:c>
      <x:c r="B7" s="24" t="str">
        <x:v>98-prefix phones changed to 99-prefix</x:v>
      </x:c>
      <x:c r="C7" s="24" t="str">
        <x:v>Find &amp; Replace / wildcard pattern</x:v>
      </x:c>
      <x:c r="D7" s="25" t="str">
        <x:v>Task4_PhoneReplace</x:v>
      </x:c>
    </x:row>
    <x:row r="8">
      <x:c r="A8" s="26" t="n">
        <x:v>5</x:v>
      </x:c>
      <x:c r="B8" s="27" t="str">
        <x:v>IPL #DIV/0! and #VALUE! issues fixed</x:v>
      </x:c>
      <x:c r="C8" s="27" t="str">
        <x:v>Error Checking + corrected formulas</x:v>
      </x:c>
      <x:c r="D8" s="28" t="str">
        <x:v>Task5_IPL_Errors</x:v>
      </x:c>
    </x:row>
    <x:row r="10">
      <x:c r="A10" s="38" t="str">
        <x:v>Notes</x:v>
      </x:c>
      <x:c r="B10" s="38"/>
    </x:row>
    <x:row r="11">
      <x:c r="A11" s="41" t="str">
        <x:v>Task 1</x:v>
      </x:c>
      <x:c r="B11" s="42" t="str">
        <x:v>Raw order list contains repeated full order records. Cleaned list contains each unique record once.</x:v>
      </x:c>
    </x:row>
    <x:row r="12">
      <x:c r="A12" s="43" t="str">
        <x:v>Task 2</x:v>
      </x:c>
      <x:c r="B12" s="44" t="str">
        <x:v>The address format uses commas, so Comma is the correct delimiter in Text to Columns.</x:v>
      </x:c>
    </x:row>
    <x:row r="13">
      <x:c r="A13" s="43" t="str">
        <x:v>Task 3</x:v>
      </x:c>
      <x:c r="B13" s="44" t="str">
        <x:v>The Username column is the resulting Flash Fill output (text before @).</x:v>
      </x:c>
    </x:row>
    <x:row r="14">
      <x:c r="A14" s="43" t="str">
        <x:v>Task 4</x:v>
      </x:c>
      <x:c r="B14" s="44" t="str">
        <x:v>The final validated values are shown after changing 98 → 99. The wildcard search pattern is documented.</x:v>
      </x:c>
    </x:row>
    <x:row r="15">
      <x:c r="A15" s="45" t="str">
        <x:v>Task 5</x:v>
      </x:c>
      <x:c r="B15" s="46" t="str">
        <x:v>The Fixed Result column contains corrected Excel formulas that prevent invalid displayed results.</x:v>
      </x:c>
    </x:row>
  </x:sheetData>
  <x:mergeCells>
    <x:mergeCell ref="A1:H1"/>
    <x:mergeCell ref="A10:B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14" hidden="0" customWidth="1"/>
    <x:col min="5" max="5" width="25" hidden="0" customWidth="1"/>
    <x:col min="6" max="6" width="10" hidden="0" customWidth="1"/>
    <x:col min="7" max="7" width="14" hidden="0" customWidth="1"/>
  </x:cols>
  <x:sheetData>
    <x:row r="1">
      <x:c r="A1" s="5" t="str">
        <x:v>Task 1 – Sample Online Orders (30 records)</x:v>
      </x:c>
      <x:c r="B1" s="5"/>
      <x:c r="C1" s="5"/>
      <x:c r="D1" s="5"/>
      <x:c r="E1" s="5"/>
      <x:c r="F1" s="5"/>
      <x:c r="G1" s="5"/>
    </x:row>
    <x:row r="3">
      <x:c r="A3" s="14" t="str">
        <x:v>Order ID</x:v>
      </x:c>
      <x:c r="B3" s="14" t="str">
        <x:v>Customer Name</x:v>
      </x:c>
      <x:c r="C3" s="14" t="str">
        <x:v>Address</x:v>
      </x:c>
      <x:c r="D3" s="14" t="str">
        <x:v>City</x:v>
      </x:c>
      <x:c r="E3" s="14" t="str">
        <x:v>Product</x:v>
      </x:c>
      <x:c r="F3" s="14" t="str">
        <x:v>Quantity</x:v>
      </x:c>
      <x:c r="G3" s="14" t="str">
        <x:v>Order Date</x:v>
      </x:c>
    </x:row>
    <x:row r="4">
      <x:c r="A4" s="20" t="str">
        <x:v>ORD1001</x:v>
      </x:c>
      <x:c r="B4" s="21" t="str">
        <x:v>Aarav Shah</x:v>
      </x:c>
      <x:c r="C4" s="21" t="str">
        <x:v>12 Rose Lane</x:v>
      </x:c>
      <x:c r="D4" s="21" t="str">
        <x:v>Ahmedabad</x:v>
      </x:c>
      <x:c r="E4" s="21" t="str">
        <x:v>Wireless Mouse</x:v>
      </x:c>
      <x:c r="F4" s="21" t="n">
        <x:v>1</x:v>
      </x:c>
      <x:c r="G4" s="53" t="n">
        <x:v>46235</x:v>
      </x:c>
    </x:row>
    <x:row r="5">
      <x:c r="A5" s="23" t="str">
        <x:v>ORD1002</x:v>
      </x:c>
      <x:c r="B5" s="24" t="str">
        <x:v>Diya Mehta</x:v>
      </x:c>
      <x:c r="C5" s="24" t="str">
        <x:v>44 Satellite Road</x:v>
      </x:c>
      <x:c r="D5" s="24" t="str">
        <x:v>Ahmedabad</x:v>
      </x:c>
      <x:c r="E5" s="24" t="str">
        <x:v>Keyboard</x:v>
      </x:c>
      <x:c r="F5" s="24" t="n">
        <x:v>1</x:v>
      </x:c>
      <x:c r="G5" s="54" t="n">
        <x:v>46235</x:v>
      </x:c>
    </x:row>
    <x:row r="6">
      <x:c r="A6" s="23" t="str">
        <x:v>ORD1003</x:v>
      </x:c>
      <x:c r="B6" s="24" t="str">
        <x:v>Rahul Patel</x:v>
      </x:c>
      <x:c r="C6" s="24" t="str">
        <x:v>18 CG Road</x:v>
      </x:c>
      <x:c r="D6" s="24" t="str">
        <x:v>Ahmedabad</x:v>
      </x:c>
      <x:c r="E6" s="24" t="str">
        <x:v>USB-C Hub</x:v>
      </x:c>
      <x:c r="F6" s="24" t="n">
        <x:v>2</x:v>
      </x:c>
      <x:c r="G6" s="54" t="n">
        <x:v>46236</x:v>
      </x:c>
    </x:row>
    <x:row r="7">
      <x:c r="A7" s="23" t="str">
        <x:v>ORD1004</x:v>
      </x:c>
      <x:c r="B7" s="24" t="str">
        <x:v>Ananya Iyer</x:v>
      </x:c>
      <x:c r="C7" s="24" t="str">
        <x:v>7 MG Road</x:v>
      </x:c>
      <x:c r="D7" s="24" t="str">
        <x:v>Bengaluru</x:v>
      </x:c>
      <x:c r="E7" s="24" t="str">
        <x:v>Laptop Stand</x:v>
      </x:c>
      <x:c r="F7" s="24" t="n">
        <x:v>1</x:v>
      </x:c>
      <x:c r="G7" s="54" t="n">
        <x:v>46236</x:v>
      </x:c>
    </x:row>
    <x:row r="8">
      <x:c r="A8" s="23" t="str">
        <x:v>ORD1005</x:v>
      </x:c>
      <x:c r="B8" s="24" t="str">
        <x:v>Kabir Rao</x:v>
      </x:c>
      <x:c r="C8" s="24" t="str">
        <x:v>19 Koramangala</x:v>
      </x:c>
      <x:c r="D8" s="24" t="str">
        <x:v>Bengaluru</x:v>
      </x:c>
      <x:c r="E8" s="24" t="str">
        <x:v>Webcam</x:v>
      </x:c>
      <x:c r="F8" s="24" t="n">
        <x:v>1</x:v>
      </x:c>
      <x:c r="G8" s="54" t="n">
        <x:v>46237</x:v>
      </x:c>
    </x:row>
    <x:row r="9">
      <x:c r="A9" s="23" t="str">
        <x:v>ORD1006</x:v>
      </x:c>
      <x:c r="B9" s="24" t="str">
        <x:v>Nisha Verma</x:v>
      </x:c>
      <x:c r="C9" s="24" t="str">
        <x:v>22 Baner Road</x:v>
      </x:c>
      <x:c r="D9" s="24" t="str">
        <x:v>Pune</x:v>
      </x:c>
      <x:c r="E9" s="24" t="str">
        <x:v>Headphones</x:v>
      </x:c>
      <x:c r="F9" s="24" t="n">
        <x:v>1</x:v>
      </x:c>
      <x:c r="G9" s="54" t="n">
        <x:v>46237</x:v>
      </x:c>
    </x:row>
    <x:row r="10">
      <x:c r="A10" s="23" t="str">
        <x:v>ORD1007</x:v>
      </x:c>
      <x:c r="B10" s="24" t="str">
        <x:v>Rohan Gupta</x:v>
      </x:c>
      <x:c r="C10" s="24" t="str">
        <x:v>4 Park Street</x:v>
      </x:c>
      <x:c r="D10" s="24" t="str">
        <x:v>Kolkata</x:v>
      </x:c>
      <x:c r="E10" s="24" t="str">
        <x:v>Power Bank</x:v>
      </x:c>
      <x:c r="F10" s="24" t="n">
        <x:v>2</x:v>
      </x:c>
      <x:c r="G10" s="54" t="n">
        <x:v>46238</x:v>
      </x:c>
    </x:row>
    <x:row r="11">
      <x:c r="A11" s="23" t="str">
        <x:v>ORD1008</x:v>
      </x:c>
      <x:c r="B11" s="24" t="str">
        <x:v>Meera Nair</x:v>
      </x:c>
      <x:c r="C11" s="24" t="str">
        <x:v>21 Alwarpet</x:v>
      </x:c>
      <x:c r="D11" s="24" t="str">
        <x:v>Chennai</x:v>
      </x:c>
      <x:c r="E11" s="24" t="str">
        <x:v>Laptop Sleeve</x:v>
      </x:c>
      <x:c r="F11" s="24" t="n">
        <x:v>1</x:v>
      </x:c>
      <x:c r="G11" s="54" t="n">
        <x:v>46238</x:v>
      </x:c>
    </x:row>
    <x:row r="12">
      <x:c r="A12" s="23" t="str">
        <x:v>ORD1009</x:v>
      </x:c>
      <x:c r="B12" s="24" t="str">
        <x:v>Aditya Singh</x:v>
      </x:c>
      <x:c r="C12" s="24" t="str">
        <x:v>9 Gomti Nagar</x:v>
      </x:c>
      <x:c r="D12" s="24" t="str">
        <x:v>Lucknow</x:v>
      </x:c>
      <x:c r="E12" s="24" t="str">
        <x:v>Bluetooth Speaker</x:v>
      </x:c>
      <x:c r="F12" s="24" t="n">
        <x:v>1</x:v>
      </x:c>
      <x:c r="G12" s="54" t="n">
        <x:v>46239</x:v>
      </x:c>
    </x:row>
    <x:row r="13">
      <x:c r="A13" s="23" t="str">
        <x:v>ORD1010</x:v>
      </x:c>
      <x:c r="B13" s="24" t="str">
        <x:v>Ishita Jain</x:v>
      </x:c>
      <x:c r="C13" s="24" t="str">
        <x:v>33 Vaishali Nagar</x:v>
      </x:c>
      <x:c r="D13" s="24" t="str">
        <x:v>Jaipur</x:v>
      </x:c>
      <x:c r="E13" s="24" t="str">
        <x:v>Smart Watch</x:v>
      </x:c>
      <x:c r="F13" s="24" t="n">
        <x:v>1</x:v>
      </x:c>
      <x:c r="G13" s="54" t="n">
        <x:v>46239</x:v>
      </x:c>
    </x:row>
    <x:row r="14">
      <x:c r="A14" s="23" t="str">
        <x:v>ORD1011</x:v>
      </x:c>
      <x:c r="B14" s="24" t="str">
        <x:v>Vikram Joshi</x:v>
      </x:c>
      <x:c r="C14" s="24" t="str">
        <x:v>10 Andheri West</x:v>
      </x:c>
      <x:c r="D14" s="24" t="str">
        <x:v>Mumbai</x:v>
      </x:c>
      <x:c r="E14" s="24" t="str">
        <x:v>Phone Case</x:v>
      </x:c>
      <x:c r="F14" s="24" t="n">
        <x:v>3</x:v>
      </x:c>
      <x:c r="G14" s="54" t="n">
        <x:v>46240</x:v>
      </x:c>
    </x:row>
    <x:row r="15">
      <x:c r="A15" s="23" t="str">
        <x:v>ORD1012</x:v>
      </x:c>
      <x:c r="B15" s="24" t="str">
        <x:v>Sneha Kapoor</x:v>
      </x:c>
      <x:c r="C15" s="24" t="str">
        <x:v>56 Sector 17</x:v>
      </x:c>
      <x:c r="D15" s="24" t="str">
        <x:v>Chandigarh</x:v>
      </x:c>
      <x:c r="E15" s="24" t="str">
        <x:v>Charging Cable</x:v>
      </x:c>
      <x:c r="F15" s="24" t="n">
        <x:v>2</x:v>
      </x:c>
      <x:c r="G15" s="54" t="n">
        <x:v>46240</x:v>
      </x:c>
    </x:row>
    <x:row r="16">
      <x:c r="A16" s="23" t="str">
        <x:v>ORD1013</x:v>
      </x:c>
      <x:c r="B16" s="24" t="str">
        <x:v>Kunal Shah</x:v>
      </x:c>
      <x:c r="C16" s="24" t="str">
        <x:v>8 Vastrapur</x:v>
      </x:c>
      <x:c r="D16" s="24" t="str">
        <x:v>Ahmedabad</x:v>
      </x:c>
      <x:c r="E16" s="24" t="str">
        <x:v>Tablet Stand</x:v>
      </x:c>
      <x:c r="F16" s="24" t="n">
        <x:v>1</x:v>
      </x:c>
      <x:c r="G16" s="54" t="n">
        <x:v>46241</x:v>
      </x:c>
    </x:row>
    <x:row r="17">
      <x:c r="A17" s="23" t="str">
        <x:v>ORD1014</x:v>
      </x:c>
      <x:c r="B17" s="24" t="str">
        <x:v>Pooja Desai</x:v>
      </x:c>
      <x:c r="C17" s="24" t="str">
        <x:v>27 Hinjewadi</x:v>
      </x:c>
      <x:c r="D17" s="24" t="str">
        <x:v>Pune</x:v>
      </x:c>
      <x:c r="E17" s="24" t="str">
        <x:v>Mechanical Keyboard</x:v>
      </x:c>
      <x:c r="F17" s="24" t="n">
        <x:v>1</x:v>
      </x:c>
      <x:c r="G17" s="54" t="n">
        <x:v>46241</x:v>
      </x:c>
    </x:row>
    <x:row r="18">
      <x:c r="A18" s="23" t="str">
        <x:v>ORD1015</x:v>
      </x:c>
      <x:c r="B18" s="24" t="str">
        <x:v>Arjun Menon</x:v>
      </x:c>
      <x:c r="C18" s="24" t="str">
        <x:v>14 Indiranagar</x:v>
      </x:c>
      <x:c r="D18" s="24" t="str">
        <x:v>Bengaluru</x:v>
      </x:c>
      <x:c r="E18" s="24" t="str">
        <x:v>Noise Cancelling Earbuds</x:v>
      </x:c>
      <x:c r="F18" s="24" t="n">
        <x:v>1</x:v>
      </x:c>
      <x:c r="G18" s="54" t="n">
        <x:v>46242</x:v>
      </x:c>
    </x:row>
    <x:row r="19">
      <x:c r="A19" s="23" t="str">
        <x:v>ORD1003</x:v>
      </x:c>
      <x:c r="B19" s="24" t="str">
        <x:v>Rahul Patel</x:v>
      </x:c>
      <x:c r="C19" s="24" t="str">
        <x:v>18 CG Road</x:v>
      </x:c>
      <x:c r="D19" s="24" t="str">
        <x:v>Ahmedabad</x:v>
      </x:c>
      <x:c r="E19" s="24" t="str">
        <x:v>USB-C Hub</x:v>
      </x:c>
      <x:c r="F19" s="24" t="n">
        <x:v>2</x:v>
      </x:c>
      <x:c r="G19" s="54" t="n">
        <x:v>46236</x:v>
      </x:c>
    </x:row>
    <x:row r="20">
      <x:c r="A20" s="23" t="str">
        <x:v>ORD1007</x:v>
      </x:c>
      <x:c r="B20" s="24" t="str">
        <x:v>Rohan Gupta</x:v>
      </x:c>
      <x:c r="C20" s="24" t="str">
        <x:v>4 Park Street</x:v>
      </x:c>
      <x:c r="D20" s="24" t="str">
        <x:v>Kolkata</x:v>
      </x:c>
      <x:c r="E20" s="24" t="str">
        <x:v>Power Bank</x:v>
      </x:c>
      <x:c r="F20" s="24" t="n">
        <x:v>2</x:v>
      </x:c>
      <x:c r="G20" s="54" t="n">
        <x:v>46238</x:v>
      </x:c>
    </x:row>
    <x:row r="21">
      <x:c r="A21" s="23" t="str">
        <x:v>ORD1010</x:v>
      </x:c>
      <x:c r="B21" s="24" t="str">
        <x:v>Ishita Jain</x:v>
      </x:c>
      <x:c r="C21" s="24" t="str">
        <x:v>33 Vaishali Nagar</x:v>
      </x:c>
      <x:c r="D21" s="24" t="str">
        <x:v>Jaipur</x:v>
      </x:c>
      <x:c r="E21" s="24" t="str">
        <x:v>Smart Watch</x:v>
      </x:c>
      <x:c r="F21" s="24" t="n">
        <x:v>1</x:v>
      </x:c>
      <x:c r="G21" s="54" t="n">
        <x:v>46239</x:v>
      </x:c>
    </x:row>
    <x:row r="22">
      <x:c r="A22" s="23" t="str">
        <x:v>ORD1016</x:v>
      </x:c>
      <x:c r="B22" s="24" t="str">
        <x:v>Neel Patil</x:v>
      </x:c>
      <x:c r="C22" s="24" t="str">
        <x:v>16 Wakad</x:v>
      </x:c>
      <x:c r="D22" s="24" t="str">
        <x:v>Pune</x:v>
      </x:c>
      <x:c r="E22" s="24" t="str">
        <x:v>Monitor Light</x:v>
      </x:c>
      <x:c r="F22" s="24" t="n">
        <x:v>1</x:v>
      </x:c>
      <x:c r="G22" s="54" t="n">
        <x:v>46242</x:v>
      </x:c>
    </x:row>
    <x:row r="23">
      <x:c r="A23" s="23" t="str">
        <x:v>ORD1017</x:v>
      </x:c>
      <x:c r="B23" s="24" t="str">
        <x:v>Tanya Bose</x:v>
      </x:c>
      <x:c r="C23" s="24" t="str">
        <x:v>3 Salt Lake</x:v>
      </x:c>
      <x:c r="D23" s="24" t="str">
        <x:v>Kolkata</x:v>
      </x:c>
      <x:c r="E23" s="24" t="str">
        <x:v>Desk Mat</x:v>
      </x:c>
      <x:c r="F23" s="24" t="n">
        <x:v>1</x:v>
      </x:c>
      <x:c r="G23" s="54" t="n">
        <x:v>46243</x:v>
      </x:c>
    </x:row>
    <x:row r="24">
      <x:c r="A24" s="23" t="str">
        <x:v>ORD1018</x:v>
      </x:c>
      <x:c r="B24" s="24" t="str">
        <x:v>Yash Kulkarni</x:v>
      </x:c>
      <x:c r="C24" s="24" t="str">
        <x:v>77 Powai</x:v>
      </x:c>
      <x:c r="D24" s="24" t="str">
        <x:v>Mumbai</x:v>
      </x:c>
      <x:c r="E24" s="24" t="str">
        <x:v>Laptop Bag</x:v>
      </x:c>
      <x:c r="F24" s="24" t="n">
        <x:v>1</x:v>
      </x:c>
      <x:c r="G24" s="54" t="n">
        <x:v>46243</x:v>
      </x:c>
    </x:row>
    <x:row r="25">
      <x:c r="A25" s="23" t="str">
        <x:v>ORD1019</x:v>
      </x:c>
      <x:c r="B25" s="24" t="str">
        <x:v>Riya Shah</x:v>
      </x:c>
      <x:c r="C25" s="24" t="str">
        <x:v>5 Bopal</x:v>
      </x:c>
      <x:c r="D25" s="24" t="str">
        <x:v>Ahmedabad</x:v>
      </x:c>
      <x:c r="E25" s="24" t="str">
        <x:v>Smart Bulb</x:v>
      </x:c>
      <x:c r="F25" s="24" t="n">
        <x:v>4</x:v>
      </x:c>
      <x:c r="G25" s="54" t="n">
        <x:v>46244</x:v>
      </x:c>
    </x:row>
    <x:row r="26">
      <x:c r="A26" s="23" t="str">
        <x:v>ORD1020</x:v>
      </x:c>
      <x:c r="B26" s="24" t="str">
        <x:v>Manav Arora</x:v>
      </x:c>
      <x:c r="C26" s="24" t="str">
        <x:v>9 Model Town</x:v>
      </x:c>
      <x:c r="D26" s="24" t="str">
        <x:v>Delhi</x:v>
      </x:c>
      <x:c r="E26" s="24" t="str">
        <x:v>Wi-Fi Router</x:v>
      </x:c>
      <x:c r="F26" s="24" t="n">
        <x:v>1</x:v>
      </x:c>
      <x:c r="G26" s="54" t="n">
        <x:v>46244</x:v>
      </x:c>
    </x:row>
    <x:row r="27">
      <x:c r="A27" s="23" t="str">
        <x:v>ORD1021</x:v>
      </x:c>
      <x:c r="B27" s="24" t="str">
        <x:v>Simran Kaur</x:v>
      </x:c>
      <x:c r="C27" s="24" t="str">
        <x:v>18 Thane West</x:v>
      </x:c>
      <x:c r="D27" s="24" t="str">
        <x:v>Mumbai</x:v>
      </x:c>
      <x:c r="E27" s="24" t="str">
        <x:v>Phone Tripod</x:v>
      </x:c>
      <x:c r="F27" s="24" t="n">
        <x:v>1</x:v>
      </x:c>
      <x:c r="G27" s="54" t="n">
        <x:v>46245</x:v>
      </x:c>
    </x:row>
    <x:row r="28">
      <x:c r="A28" s="23" t="str">
        <x:v>ORD1022</x:v>
      </x:c>
      <x:c r="B28" s="24" t="str">
        <x:v>Dev Malhotra</x:v>
      </x:c>
      <x:c r="C28" s="24" t="str">
        <x:v>31 Noida Sector 62</x:v>
      </x:c>
      <x:c r="D28" s="24" t="str">
        <x:v>Noida</x:v>
      </x:c>
      <x:c r="E28" s="24" t="str">
        <x:v>SSD 1TB</x:v>
      </x:c>
      <x:c r="F28" s="24" t="n">
        <x:v>1</x:v>
      </x:c>
      <x:c r="G28" s="54" t="n">
        <x:v>46245</x:v>
      </x:c>
    </x:row>
    <x:row r="29">
      <x:c r="A29" s="23" t="str">
        <x:v>ORD1023</x:v>
      </x:c>
      <x:c r="B29" s="24" t="str">
        <x:v>Aditi Sethi</x:v>
      </x:c>
      <x:c r="C29" s="24" t="str">
        <x:v>11 Kalyani Nagar</x:v>
      </x:c>
      <x:c r="D29" s="24" t="str">
        <x:v>Pune</x:v>
      </x:c>
      <x:c r="E29" s="24" t="str">
        <x:v>Air Purifier</x:v>
      </x:c>
      <x:c r="F29" s="24" t="n">
        <x:v>1</x:v>
      </x:c>
      <x:c r="G29" s="54" t="n">
        <x:v>46246</x:v>
      </x:c>
    </x:row>
    <x:row r="30">
      <x:c r="A30" s="23" t="str">
        <x:v>ORD1024</x:v>
      </x:c>
      <x:c r="B30" s="24" t="str">
        <x:v>Samar Khan</x:v>
      </x:c>
      <x:c r="C30" s="24" t="str">
        <x:v>6 Aliganj</x:v>
      </x:c>
      <x:c r="D30" s="24" t="str">
        <x:v>Lucknow</x:v>
      </x:c>
      <x:c r="E30" s="24" t="str">
        <x:v>Fitness Band</x:v>
      </x:c>
      <x:c r="F30" s="24" t="n">
        <x:v>2</x:v>
      </x:c>
      <x:c r="G30" s="54" t="n">
        <x:v>46246</x:v>
      </x:c>
    </x:row>
    <x:row r="31">
      <x:c r="A31" s="23" t="str">
        <x:v>ORD1025</x:v>
      </x:c>
      <x:c r="B31" s="24" t="str">
        <x:v>Ira Sen</x:v>
      </x:c>
      <x:c r="C31" s="24" t="str">
        <x:v>19 Gariahat</x:v>
      </x:c>
      <x:c r="D31" s="24" t="str">
        <x:v>Kolkata</x:v>
      </x:c>
      <x:c r="E31" s="24" t="str">
        <x:v>Table Lamp</x:v>
      </x:c>
      <x:c r="F31" s="24" t="n">
        <x:v>1</x:v>
      </x:c>
      <x:c r="G31" s="54" t="n">
        <x:v>46247</x:v>
      </x:c>
    </x:row>
    <x:row r="32">
      <x:c r="A32" s="23" t="str">
        <x:v>ORD1026</x:v>
      </x:c>
      <x:c r="B32" s="24" t="str">
        <x:v>Harsh Vora</x:v>
      </x:c>
      <x:c r="C32" s="24" t="str">
        <x:v>24 Prahlad Nagar</x:v>
      </x:c>
      <x:c r="D32" s="24" t="str">
        <x:v>Ahmedabad</x:v>
      </x:c>
      <x:c r="E32" s="24" t="str">
        <x:v>Desk Organizer</x:v>
      </x:c>
      <x:c r="F32" s="24" t="n">
        <x:v>2</x:v>
      </x:c>
      <x:c r="G32" s="54" t="n">
        <x:v>46247</x:v>
      </x:c>
    </x:row>
    <x:row r="33">
      <x:c r="A33" s="26" t="str">
        <x:v>ORD1027</x:v>
      </x:c>
      <x:c r="B33" s="27" t="str">
        <x:v>Mahi Agarwal</x:v>
      </x:c>
      <x:c r="C33" s="27" t="str">
        <x:v>40 Dwarka</x:v>
      </x:c>
      <x:c r="D33" s="27" t="str">
        <x:v>Delhi</x:v>
      </x:c>
      <x:c r="E33" s="27" t="str">
        <x:v>Portable SSD</x:v>
      </x:c>
      <x:c r="F33" s="27" t="n">
        <x:v>1</x:v>
      </x:c>
      <x:c r="G33" s="55" t="n">
        <x:v>46248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a5d348ca70947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14" hidden="0" customWidth="1"/>
    <x:col min="5" max="5" width="25" hidden="0" customWidth="1"/>
    <x:col min="6" max="6" width="10" hidden="0" customWidth="1"/>
    <x:col min="7" max="7" width="14" hidden="0" customWidth="1"/>
    <x:col min="8" max="8" width="28" hidden="0" customWidth="1"/>
  </x:cols>
  <x:sheetData>
    <x:row r="1">
      <x:c r="A1" s="5" t="str">
        <x:v>Task 1 – Remove Duplicates Result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Order ID</x:v>
      </x:c>
      <x:c r="B3" s="14" t="str">
        <x:v>Customer Name</x:v>
      </x:c>
      <x:c r="C3" s="14" t="str">
        <x:v>Address</x:v>
      </x:c>
      <x:c r="D3" s="14" t="str">
        <x:v>City</x:v>
      </x:c>
      <x:c r="E3" s="14" t="str">
        <x:v>Product</x:v>
      </x:c>
      <x:c r="F3" s="14" t="str">
        <x:v>Quantity</x:v>
      </x:c>
      <x:c r="G3" s="14" t="str">
        <x:v>Order Date</x:v>
      </x:c>
      <x:c r="H3" s="14" t="str">
        <x:v>Duplicate Status</x:v>
      </x:c>
    </x:row>
    <x:row r="4">
      <x:c r="A4" s="20" t="str">
        <x:v>ORD1001</x:v>
      </x:c>
      <x:c r="B4" s="21" t="str">
        <x:v>Aarav Shah</x:v>
      </x:c>
      <x:c r="C4" s="21" t="str">
        <x:v>12 Rose Lane</x:v>
      </x:c>
      <x:c r="D4" s="21" t="str">
        <x:v>Ahmedabad</x:v>
      </x:c>
      <x:c r="E4" s="21" t="str">
        <x:v>Wireless Mouse</x:v>
      </x:c>
      <x:c r="F4" s="21" t="n">
        <x:v>1</x:v>
      </x:c>
      <x:c r="G4" s="59" t="n">
        <x:v>46235</x:v>
      </x:c>
      <x:c r="H4" s="22" t="str">
        <x:v>Unique</x:v>
      </x:c>
    </x:row>
    <x:row r="5">
      <x:c r="A5" s="23" t="str">
        <x:v>ORD1002</x:v>
      </x:c>
      <x:c r="B5" s="24" t="str">
        <x:v>Diya Mehta</x:v>
      </x:c>
      <x:c r="C5" s="24" t="str">
        <x:v>44 Satellite Road</x:v>
      </x:c>
      <x:c r="D5" s="24" t="str">
        <x:v>Ahmedabad</x:v>
      </x:c>
      <x:c r="E5" s="24" t="str">
        <x:v>Keyboard</x:v>
      </x:c>
      <x:c r="F5" s="24" t="n">
        <x:v>1</x:v>
      </x:c>
      <x:c r="G5" s="60" t="n">
        <x:v>46235</x:v>
      </x:c>
      <x:c r="H5" s="25" t="str">
        <x:v>Unique</x:v>
      </x:c>
    </x:row>
    <x:row r="6">
      <x:c r="A6" s="23" t="str">
        <x:v>ORD1003</x:v>
      </x:c>
      <x:c r="B6" s="24" t="str">
        <x:v>Rahul Patel</x:v>
      </x:c>
      <x:c r="C6" s="24" t="str">
        <x:v>18 CG Road</x:v>
      </x:c>
      <x:c r="D6" s="24" t="str">
        <x:v>Ahmedabad</x:v>
      </x:c>
      <x:c r="E6" s="24" t="str">
        <x:v>USB-C Hub</x:v>
      </x:c>
      <x:c r="F6" s="24" t="n">
        <x:v>2</x:v>
      </x:c>
      <x:c r="G6" s="60" t="n">
        <x:v>46236</x:v>
      </x:c>
      <x:c r="H6" s="25" t="str">
        <x:v>Removed duplicate occurrence</x:v>
      </x:c>
    </x:row>
    <x:row r="7">
      <x:c r="A7" s="23" t="str">
        <x:v>ORD1004</x:v>
      </x:c>
      <x:c r="B7" s="24" t="str">
        <x:v>Ananya Iyer</x:v>
      </x:c>
      <x:c r="C7" s="24" t="str">
        <x:v>7 MG Road</x:v>
      </x:c>
      <x:c r="D7" s="24" t="str">
        <x:v>Bengaluru</x:v>
      </x:c>
      <x:c r="E7" s="24" t="str">
        <x:v>Laptop Stand</x:v>
      </x:c>
      <x:c r="F7" s="24" t="n">
        <x:v>1</x:v>
      </x:c>
      <x:c r="G7" s="60" t="n">
        <x:v>46236</x:v>
      </x:c>
      <x:c r="H7" s="25" t="str">
        <x:v>Unique</x:v>
      </x:c>
    </x:row>
    <x:row r="8">
      <x:c r="A8" s="23" t="str">
        <x:v>ORD1005</x:v>
      </x:c>
      <x:c r="B8" s="24" t="str">
        <x:v>Kabir Rao</x:v>
      </x:c>
      <x:c r="C8" s="24" t="str">
        <x:v>19 Koramangala</x:v>
      </x:c>
      <x:c r="D8" s="24" t="str">
        <x:v>Bengaluru</x:v>
      </x:c>
      <x:c r="E8" s="24" t="str">
        <x:v>Webcam</x:v>
      </x:c>
      <x:c r="F8" s="24" t="n">
        <x:v>1</x:v>
      </x:c>
      <x:c r="G8" s="60" t="n">
        <x:v>46237</x:v>
      </x:c>
      <x:c r="H8" s="25" t="str">
        <x:v>Unique</x:v>
      </x:c>
    </x:row>
    <x:row r="9">
      <x:c r="A9" s="23" t="str">
        <x:v>ORD1006</x:v>
      </x:c>
      <x:c r="B9" s="24" t="str">
        <x:v>Nisha Verma</x:v>
      </x:c>
      <x:c r="C9" s="24" t="str">
        <x:v>22 Baner Road</x:v>
      </x:c>
      <x:c r="D9" s="24" t="str">
        <x:v>Pune</x:v>
      </x:c>
      <x:c r="E9" s="24" t="str">
        <x:v>Headphones</x:v>
      </x:c>
      <x:c r="F9" s="24" t="n">
        <x:v>1</x:v>
      </x:c>
      <x:c r="G9" s="60" t="n">
        <x:v>46237</x:v>
      </x:c>
      <x:c r="H9" s="25" t="str">
        <x:v>Unique</x:v>
      </x:c>
    </x:row>
    <x:row r="10">
      <x:c r="A10" s="23" t="str">
        <x:v>ORD1007</x:v>
      </x:c>
      <x:c r="B10" s="24" t="str">
        <x:v>Rohan Gupta</x:v>
      </x:c>
      <x:c r="C10" s="24" t="str">
        <x:v>4 Park Street</x:v>
      </x:c>
      <x:c r="D10" s="24" t="str">
        <x:v>Kolkata</x:v>
      </x:c>
      <x:c r="E10" s="24" t="str">
        <x:v>Power Bank</x:v>
      </x:c>
      <x:c r="F10" s="24" t="n">
        <x:v>2</x:v>
      </x:c>
      <x:c r="G10" s="60" t="n">
        <x:v>46238</x:v>
      </x:c>
      <x:c r="H10" s="25" t="str">
        <x:v>Removed duplicate occurrence</x:v>
      </x:c>
    </x:row>
    <x:row r="11">
      <x:c r="A11" s="23" t="str">
        <x:v>ORD1008</x:v>
      </x:c>
      <x:c r="B11" s="24" t="str">
        <x:v>Meera Nair</x:v>
      </x:c>
      <x:c r="C11" s="24" t="str">
        <x:v>21 Alwarpet</x:v>
      </x:c>
      <x:c r="D11" s="24" t="str">
        <x:v>Chennai</x:v>
      </x:c>
      <x:c r="E11" s="24" t="str">
        <x:v>Laptop Sleeve</x:v>
      </x:c>
      <x:c r="F11" s="24" t="n">
        <x:v>1</x:v>
      </x:c>
      <x:c r="G11" s="60" t="n">
        <x:v>46238</x:v>
      </x:c>
      <x:c r="H11" s="25" t="str">
        <x:v>Unique</x:v>
      </x:c>
    </x:row>
    <x:row r="12">
      <x:c r="A12" s="23" t="str">
        <x:v>ORD1009</x:v>
      </x:c>
      <x:c r="B12" s="24" t="str">
        <x:v>Aditya Singh</x:v>
      </x:c>
      <x:c r="C12" s="24" t="str">
        <x:v>9 Gomti Nagar</x:v>
      </x:c>
      <x:c r="D12" s="24" t="str">
        <x:v>Lucknow</x:v>
      </x:c>
      <x:c r="E12" s="24" t="str">
        <x:v>Bluetooth Speaker</x:v>
      </x:c>
      <x:c r="F12" s="24" t="n">
        <x:v>1</x:v>
      </x:c>
      <x:c r="G12" s="60" t="n">
        <x:v>46239</x:v>
      </x:c>
      <x:c r="H12" s="25" t="str">
        <x:v>Unique</x:v>
      </x:c>
    </x:row>
    <x:row r="13">
      <x:c r="A13" s="23" t="str">
        <x:v>ORD1010</x:v>
      </x:c>
      <x:c r="B13" s="24" t="str">
        <x:v>Ishita Jain</x:v>
      </x:c>
      <x:c r="C13" s="24" t="str">
        <x:v>33 Vaishali Nagar</x:v>
      </x:c>
      <x:c r="D13" s="24" t="str">
        <x:v>Jaipur</x:v>
      </x:c>
      <x:c r="E13" s="24" t="str">
        <x:v>Smart Watch</x:v>
      </x:c>
      <x:c r="F13" s="24" t="n">
        <x:v>1</x:v>
      </x:c>
      <x:c r="G13" s="60" t="n">
        <x:v>46239</x:v>
      </x:c>
      <x:c r="H13" s="25" t="str">
        <x:v>Removed duplicate occurrence</x:v>
      </x:c>
    </x:row>
    <x:row r="14">
      <x:c r="A14" s="23" t="str">
        <x:v>ORD1011</x:v>
      </x:c>
      <x:c r="B14" s="24" t="str">
        <x:v>Vikram Joshi</x:v>
      </x:c>
      <x:c r="C14" s="24" t="str">
        <x:v>10 Andheri West</x:v>
      </x:c>
      <x:c r="D14" s="24" t="str">
        <x:v>Mumbai</x:v>
      </x:c>
      <x:c r="E14" s="24" t="str">
        <x:v>Phone Case</x:v>
      </x:c>
      <x:c r="F14" s="24" t="n">
        <x:v>3</x:v>
      </x:c>
      <x:c r="G14" s="60" t="n">
        <x:v>46240</x:v>
      </x:c>
      <x:c r="H14" s="25" t="str">
        <x:v>Unique</x:v>
      </x:c>
    </x:row>
    <x:row r="15">
      <x:c r="A15" s="23" t="str">
        <x:v>ORD1012</x:v>
      </x:c>
      <x:c r="B15" s="24" t="str">
        <x:v>Sneha Kapoor</x:v>
      </x:c>
      <x:c r="C15" s="24" t="str">
        <x:v>56 Sector 17</x:v>
      </x:c>
      <x:c r="D15" s="24" t="str">
        <x:v>Chandigarh</x:v>
      </x:c>
      <x:c r="E15" s="24" t="str">
        <x:v>Charging Cable</x:v>
      </x:c>
      <x:c r="F15" s="24" t="n">
        <x:v>2</x:v>
      </x:c>
      <x:c r="G15" s="60" t="n">
        <x:v>46240</x:v>
      </x:c>
      <x:c r="H15" s="25" t="str">
        <x:v>Unique</x:v>
      </x:c>
    </x:row>
    <x:row r="16">
      <x:c r="A16" s="23" t="str">
        <x:v>ORD1013</x:v>
      </x:c>
      <x:c r="B16" s="24" t="str">
        <x:v>Kunal Shah</x:v>
      </x:c>
      <x:c r="C16" s="24" t="str">
        <x:v>8 Vastrapur</x:v>
      </x:c>
      <x:c r="D16" s="24" t="str">
        <x:v>Ahmedabad</x:v>
      </x:c>
      <x:c r="E16" s="24" t="str">
        <x:v>Tablet Stand</x:v>
      </x:c>
      <x:c r="F16" s="24" t="n">
        <x:v>1</x:v>
      </x:c>
      <x:c r="G16" s="60" t="n">
        <x:v>46241</x:v>
      </x:c>
      <x:c r="H16" s="25" t="str">
        <x:v>Unique</x:v>
      </x:c>
    </x:row>
    <x:row r="17">
      <x:c r="A17" s="23" t="str">
        <x:v>ORD1014</x:v>
      </x:c>
      <x:c r="B17" s="24" t="str">
        <x:v>Pooja Desai</x:v>
      </x:c>
      <x:c r="C17" s="24" t="str">
        <x:v>27 Hinjewadi</x:v>
      </x:c>
      <x:c r="D17" s="24" t="str">
        <x:v>Pune</x:v>
      </x:c>
      <x:c r="E17" s="24" t="str">
        <x:v>Mechanical Keyboard</x:v>
      </x:c>
      <x:c r="F17" s="24" t="n">
        <x:v>1</x:v>
      </x:c>
      <x:c r="G17" s="60" t="n">
        <x:v>46241</x:v>
      </x:c>
      <x:c r="H17" s="25" t="str">
        <x:v>Unique</x:v>
      </x:c>
    </x:row>
    <x:row r="18">
      <x:c r="A18" s="23" t="str">
        <x:v>ORD1015</x:v>
      </x:c>
      <x:c r="B18" s="24" t="str">
        <x:v>Arjun Menon</x:v>
      </x:c>
      <x:c r="C18" s="24" t="str">
        <x:v>14 Indiranagar</x:v>
      </x:c>
      <x:c r="D18" s="24" t="str">
        <x:v>Bengaluru</x:v>
      </x:c>
      <x:c r="E18" s="24" t="str">
        <x:v>Noise Cancelling Earbuds</x:v>
      </x:c>
      <x:c r="F18" s="24" t="n">
        <x:v>1</x:v>
      </x:c>
      <x:c r="G18" s="60" t="n">
        <x:v>46242</x:v>
      </x:c>
      <x:c r="H18" s="25" t="str">
        <x:v>Unique</x:v>
      </x:c>
    </x:row>
    <x:row r="19">
      <x:c r="A19" s="23" t="str">
        <x:v>ORD1016</x:v>
      </x:c>
      <x:c r="B19" s="24" t="str">
        <x:v>Neel Patil</x:v>
      </x:c>
      <x:c r="C19" s="24" t="str">
        <x:v>16 Wakad</x:v>
      </x:c>
      <x:c r="D19" s="24" t="str">
        <x:v>Pune</x:v>
      </x:c>
      <x:c r="E19" s="24" t="str">
        <x:v>Monitor Light</x:v>
      </x:c>
      <x:c r="F19" s="24" t="n">
        <x:v>1</x:v>
      </x:c>
      <x:c r="G19" s="60" t="n">
        <x:v>46242</x:v>
      </x:c>
      <x:c r="H19" s="25" t="str">
        <x:v>Unique</x:v>
      </x:c>
    </x:row>
    <x:row r="20">
      <x:c r="A20" s="23" t="str">
        <x:v>ORD1017</x:v>
      </x:c>
      <x:c r="B20" s="24" t="str">
        <x:v>Tanya Bose</x:v>
      </x:c>
      <x:c r="C20" s="24" t="str">
        <x:v>3 Salt Lake</x:v>
      </x:c>
      <x:c r="D20" s="24" t="str">
        <x:v>Kolkata</x:v>
      </x:c>
      <x:c r="E20" s="24" t="str">
        <x:v>Desk Mat</x:v>
      </x:c>
      <x:c r="F20" s="24" t="n">
        <x:v>1</x:v>
      </x:c>
      <x:c r="G20" s="60" t="n">
        <x:v>46243</x:v>
      </x:c>
      <x:c r="H20" s="25" t="str">
        <x:v>Unique</x:v>
      </x:c>
    </x:row>
    <x:row r="21">
      <x:c r="A21" s="23" t="str">
        <x:v>ORD1018</x:v>
      </x:c>
      <x:c r="B21" s="24" t="str">
        <x:v>Yash Kulkarni</x:v>
      </x:c>
      <x:c r="C21" s="24" t="str">
        <x:v>77 Powai</x:v>
      </x:c>
      <x:c r="D21" s="24" t="str">
        <x:v>Mumbai</x:v>
      </x:c>
      <x:c r="E21" s="24" t="str">
        <x:v>Laptop Bag</x:v>
      </x:c>
      <x:c r="F21" s="24" t="n">
        <x:v>1</x:v>
      </x:c>
      <x:c r="G21" s="60" t="n">
        <x:v>46243</x:v>
      </x:c>
      <x:c r="H21" s="25" t="str">
        <x:v>Unique</x:v>
      </x:c>
    </x:row>
    <x:row r="22">
      <x:c r="A22" s="23" t="str">
        <x:v>ORD1019</x:v>
      </x:c>
      <x:c r="B22" s="24" t="str">
        <x:v>Riya Shah</x:v>
      </x:c>
      <x:c r="C22" s="24" t="str">
        <x:v>5 Bopal</x:v>
      </x:c>
      <x:c r="D22" s="24" t="str">
        <x:v>Ahmedabad</x:v>
      </x:c>
      <x:c r="E22" s="24" t="str">
        <x:v>Smart Bulb</x:v>
      </x:c>
      <x:c r="F22" s="24" t="n">
        <x:v>4</x:v>
      </x:c>
      <x:c r="G22" s="60" t="n">
        <x:v>46244</x:v>
      </x:c>
      <x:c r="H22" s="25" t="str">
        <x:v>Unique</x:v>
      </x:c>
    </x:row>
    <x:row r="23">
      <x:c r="A23" s="23" t="str">
        <x:v>ORD1020</x:v>
      </x:c>
      <x:c r="B23" s="24" t="str">
        <x:v>Manav Arora</x:v>
      </x:c>
      <x:c r="C23" s="24" t="str">
        <x:v>9 Model Town</x:v>
      </x:c>
      <x:c r="D23" s="24" t="str">
        <x:v>Delhi</x:v>
      </x:c>
      <x:c r="E23" s="24" t="str">
        <x:v>Wi-Fi Router</x:v>
      </x:c>
      <x:c r="F23" s="24" t="n">
        <x:v>1</x:v>
      </x:c>
      <x:c r="G23" s="60" t="n">
        <x:v>46244</x:v>
      </x:c>
      <x:c r="H23" s="25" t="str">
        <x:v>Unique</x:v>
      </x:c>
    </x:row>
    <x:row r="24">
      <x:c r="A24" s="23" t="str">
        <x:v>ORD1021</x:v>
      </x:c>
      <x:c r="B24" s="24" t="str">
        <x:v>Simran Kaur</x:v>
      </x:c>
      <x:c r="C24" s="24" t="str">
        <x:v>18 Thane West</x:v>
      </x:c>
      <x:c r="D24" s="24" t="str">
        <x:v>Mumbai</x:v>
      </x:c>
      <x:c r="E24" s="24" t="str">
        <x:v>Phone Tripod</x:v>
      </x:c>
      <x:c r="F24" s="24" t="n">
        <x:v>1</x:v>
      </x:c>
      <x:c r="G24" s="60" t="n">
        <x:v>46245</x:v>
      </x:c>
      <x:c r="H24" s="25" t="str">
        <x:v>Unique</x:v>
      </x:c>
    </x:row>
    <x:row r="25">
      <x:c r="A25" s="23" t="str">
        <x:v>ORD1022</x:v>
      </x:c>
      <x:c r="B25" s="24" t="str">
        <x:v>Dev Malhotra</x:v>
      </x:c>
      <x:c r="C25" s="24" t="str">
        <x:v>31 Noida Sector 62</x:v>
      </x:c>
      <x:c r="D25" s="24" t="str">
        <x:v>Noida</x:v>
      </x:c>
      <x:c r="E25" s="24" t="str">
        <x:v>SSD 1TB</x:v>
      </x:c>
      <x:c r="F25" s="24" t="n">
        <x:v>1</x:v>
      </x:c>
      <x:c r="G25" s="60" t="n">
        <x:v>46245</x:v>
      </x:c>
      <x:c r="H25" s="25" t="str">
        <x:v>Unique</x:v>
      </x:c>
    </x:row>
    <x:row r="26">
      <x:c r="A26" s="23" t="str">
        <x:v>ORD1023</x:v>
      </x:c>
      <x:c r="B26" s="24" t="str">
        <x:v>Aditi Sethi</x:v>
      </x:c>
      <x:c r="C26" s="24" t="str">
        <x:v>11 Kalyani Nagar</x:v>
      </x:c>
      <x:c r="D26" s="24" t="str">
        <x:v>Pune</x:v>
      </x:c>
      <x:c r="E26" s="24" t="str">
        <x:v>Air Purifier</x:v>
      </x:c>
      <x:c r="F26" s="24" t="n">
        <x:v>1</x:v>
      </x:c>
      <x:c r="G26" s="60" t="n">
        <x:v>46246</x:v>
      </x:c>
      <x:c r="H26" s="25" t="str">
        <x:v>Unique</x:v>
      </x:c>
    </x:row>
    <x:row r="27">
      <x:c r="A27" s="23" t="str">
        <x:v>ORD1024</x:v>
      </x:c>
      <x:c r="B27" s="24" t="str">
        <x:v>Samar Khan</x:v>
      </x:c>
      <x:c r="C27" s="24" t="str">
        <x:v>6 Aliganj</x:v>
      </x:c>
      <x:c r="D27" s="24" t="str">
        <x:v>Lucknow</x:v>
      </x:c>
      <x:c r="E27" s="24" t="str">
        <x:v>Fitness Band</x:v>
      </x:c>
      <x:c r="F27" s="24" t="n">
        <x:v>2</x:v>
      </x:c>
      <x:c r="G27" s="60" t="n">
        <x:v>46246</x:v>
      </x:c>
      <x:c r="H27" s="25" t="str">
        <x:v>Unique</x:v>
      </x:c>
    </x:row>
    <x:row r="28">
      <x:c r="A28" s="23" t="str">
        <x:v>ORD1025</x:v>
      </x:c>
      <x:c r="B28" s="24" t="str">
        <x:v>Ira Sen</x:v>
      </x:c>
      <x:c r="C28" s="24" t="str">
        <x:v>19 Gariahat</x:v>
      </x:c>
      <x:c r="D28" s="24" t="str">
        <x:v>Kolkata</x:v>
      </x:c>
      <x:c r="E28" s="24" t="str">
        <x:v>Table Lamp</x:v>
      </x:c>
      <x:c r="F28" s="24" t="n">
        <x:v>1</x:v>
      </x:c>
      <x:c r="G28" s="60" t="n">
        <x:v>46247</x:v>
      </x:c>
      <x:c r="H28" s="25" t="str">
        <x:v>Unique</x:v>
      </x:c>
    </x:row>
    <x:row r="29">
      <x:c r="A29" s="23" t="str">
        <x:v>ORD1026</x:v>
      </x:c>
      <x:c r="B29" s="24" t="str">
        <x:v>Harsh Vora</x:v>
      </x:c>
      <x:c r="C29" s="24" t="str">
        <x:v>24 Prahlad Nagar</x:v>
      </x:c>
      <x:c r="D29" s="24" t="str">
        <x:v>Ahmedabad</x:v>
      </x:c>
      <x:c r="E29" s="24" t="str">
        <x:v>Desk Organizer</x:v>
      </x:c>
      <x:c r="F29" s="24" t="n">
        <x:v>2</x:v>
      </x:c>
      <x:c r="G29" s="60" t="n">
        <x:v>46247</x:v>
      </x:c>
      <x:c r="H29" s="25" t="str">
        <x:v>Unique</x:v>
      </x:c>
    </x:row>
    <x:row r="30">
      <x:c r="A30" s="26" t="str">
        <x:v>ORD1027</x:v>
      </x:c>
      <x:c r="B30" s="27" t="str">
        <x:v>Mahi Agarwal</x:v>
      </x:c>
      <x:c r="C30" s="27" t="str">
        <x:v>40 Dwarka</x:v>
      </x:c>
      <x:c r="D30" s="27" t="str">
        <x:v>Delhi</x:v>
      </x:c>
      <x:c r="E30" s="27" t="str">
        <x:v>Portable SSD</x:v>
      </x:c>
      <x:c r="F30" s="27" t="n">
        <x:v>1</x:v>
      </x:c>
      <x:c r="G30" s="61" t="n">
        <x:v>46248</x:v>
      </x:c>
      <x:c r="H30" s="28" t="str">
        <x:v>Unique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8c6aceccb0449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7" hidden="0" customWidth="1"/>
    <x:col min="4" max="4" width="27" hidden="0" customWidth="1"/>
    <x:col min="5" max="5" width="25" hidden="0" customWidth="1"/>
    <x:col min="6" max="6" width="16" hidden="0" customWidth="1"/>
  </x:cols>
  <x:sheetData>
    <x:row r="1">
      <x:c r="A1" s="5" t="str">
        <x:v>Task 2 – Text to Columns: Zomato-style Address Split</x:v>
      </x:c>
      <x:c r="B1" s="5"/>
      <x:c r="C1" s="5"/>
      <x:c r="D1" s="5"/>
      <x:c r="E1" s="5"/>
      <x:c r="F1" s="5"/>
    </x:row>
    <x:row r="3">
      <x:c r="A3" s="14" t="str">
        <x:v>Original Address</x:v>
      </x:c>
      <x:c r="B3" s="14" t="str">
        <x:v>Delimiter</x:v>
      </x:c>
      <x:c r="C3" s="14" t="str">
        <x:v>Flat/House No.</x:v>
      </x:c>
      <x:c r="D3" s="14" t="str">
        <x:v>Building Name</x:v>
      </x:c>
      <x:c r="E3" s="14" t="str">
        <x:v>Street</x:v>
      </x:c>
      <x:c r="F3" s="14" t="str">
        <x:v>City</x:v>
      </x:c>
    </x:row>
    <x:row r="4">
      <x:c r="A4" s="41" t="str">
        <x:v>Flat 12B, Sunrise Apartments, SG Highway, Ahmedabad</x:v>
      </x:c>
      <x:c r="B4" s="65" t="str">
        <x:v>,</x:v>
      </x:c>
      <x:c r="C4" s="65" t="str">
        <x:v>Flat 12B</x:v>
      </x:c>
      <x:c r="D4" s="65" t="str">
        <x:v>Sunrise Apartments</x:v>
      </x:c>
      <x:c r="E4" s="65" t="str">
        <x:v>SG Highway</x:v>
      </x:c>
      <x:c r="F4" s="42" t="str">
        <x:v>Ahmedabad</x:v>
      </x:c>
    </x:row>
    <x:row r="5">
      <x:c r="A5" s="43" t="str">
        <x:v>Flat 8A, Green Heights, BRTS Road, Ahmedabad</x:v>
      </x:c>
      <x:c r="B5" s="66" t="str">
        <x:v>,</x:v>
      </x:c>
      <x:c r="C5" s="66" t="str">
        <x:v>Flat 8A</x:v>
      </x:c>
      <x:c r="D5" s="66" t="str">
        <x:v>Green Heights</x:v>
      </x:c>
      <x:c r="E5" s="66" t="str">
        <x:v>BRTS Road</x:v>
      </x:c>
      <x:c r="F5" s="44" t="str">
        <x:v>Ahmedabad</x:v>
      </x:c>
    </x:row>
    <x:row r="6">
      <x:c r="A6" s="43" t="str">
        <x:v>House 21, Lake View Residency, Baner Road, Pune</x:v>
      </x:c>
      <x:c r="B6" s="66" t="str">
        <x:v>,</x:v>
      </x:c>
      <x:c r="C6" s="66" t="str">
        <x:v>House 21</x:v>
      </x:c>
      <x:c r="D6" s="66" t="str">
        <x:v>Lake View Residency</x:v>
      </x:c>
      <x:c r="E6" s="66" t="str">
        <x:v>Baner Road</x:v>
      </x:c>
      <x:c r="F6" s="44" t="str">
        <x:v>Pune</x:v>
      </x:c>
    </x:row>
    <x:row r="7">
      <x:c r="A7" s="43" t="str">
        <x:v>Flat 404, Palm Grove, Whitefield Main Road, Bengaluru</x:v>
      </x:c>
      <x:c r="B7" s="66" t="str">
        <x:v>,</x:v>
      </x:c>
      <x:c r="C7" s="66" t="str">
        <x:v>Flat 404</x:v>
      </x:c>
      <x:c r="D7" s="66" t="str">
        <x:v>Palm Grove</x:v>
      </x:c>
      <x:c r="E7" s="66" t="str">
        <x:v>Whitefield Main Road</x:v>
      </x:c>
      <x:c r="F7" s="44" t="str">
        <x:v>Bengaluru</x:v>
      </x:c>
    </x:row>
    <x:row r="8">
      <x:c r="A8" s="43" t="str">
        <x:v>House 16, Park Avenue, Salt Lake, Kolkata</x:v>
      </x:c>
      <x:c r="B8" s="66" t="str">
        <x:v>,</x:v>
      </x:c>
      <x:c r="C8" s="66" t="str">
        <x:v>House 16</x:v>
      </x:c>
      <x:c r="D8" s="66" t="str">
        <x:v>Park Avenue</x:v>
      </x:c>
      <x:c r="E8" s="66" t="str">
        <x:v>Salt Lake</x:v>
      </x:c>
      <x:c r="F8" s="44" t="str">
        <x:v>Kolkata</x:v>
      </x:c>
    </x:row>
    <x:row r="9">
      <x:c r="A9" s="43" t="str">
        <x:v>Flat 9C, Silver Oak Towers, Alwarpet, Chennai</x:v>
      </x:c>
      <x:c r="B9" s="66" t="str">
        <x:v>,</x:v>
      </x:c>
      <x:c r="C9" s="66" t="str">
        <x:v>Flat 9C</x:v>
      </x:c>
      <x:c r="D9" s="66" t="str">
        <x:v>Silver Oak Towers</x:v>
      </x:c>
      <x:c r="E9" s="66" t="str">
        <x:v>Alwarpet</x:v>
      </x:c>
      <x:c r="F9" s="44" t="str">
        <x:v>Chennai</x:v>
      </x:c>
    </x:row>
    <x:row r="10">
      <x:c r="A10" s="43" t="str">
        <x:v>Flat 23, Riverstone Apartments, Gomti Nagar, Lucknow</x:v>
      </x:c>
      <x:c r="B10" s="66" t="str">
        <x:v>,</x:v>
      </x:c>
      <x:c r="C10" s="66" t="str">
        <x:v>Flat 23</x:v>
      </x:c>
      <x:c r="D10" s="66" t="str">
        <x:v>Riverstone Apartments</x:v>
      </x:c>
      <x:c r="E10" s="66" t="str">
        <x:v>Gomti Nagar</x:v>
      </x:c>
      <x:c r="F10" s="44" t="str">
        <x:v>Lucknow</x:v>
      </x:c>
    </x:row>
    <x:row r="11">
      <x:c r="A11" s="45" t="str">
        <x:v>House 7, Shanti Enclave, Andheri West, Mumbai</x:v>
      </x:c>
      <x:c r="B11" s="67" t="str">
        <x:v>,</x:v>
      </x:c>
      <x:c r="C11" s="67" t="str">
        <x:v>House 7</x:v>
      </x:c>
      <x:c r="D11" s="67" t="str">
        <x:v>Shanti Enclave</x:v>
      </x:c>
      <x:c r="E11" s="67" t="str">
        <x:v>Andheri West</x:v>
      </x:c>
      <x:c r="F11" s="46" t="str">
        <x:v>Mumbai</x:v>
      </x:c>
    </x:row>
    <x:row r="13">
      <x:c r="A13" s="38" t="str">
        <x:v>Excel action: Data → Text to Columns → Delimited → Comma → Finish.</x:v>
      </x:c>
      <x:c r="B13" s="38"/>
      <x:c r="C13" s="38"/>
      <x:c r="D13" s="38"/>
      <x:c r="E13" s="38"/>
      <x:c r="F13" s="38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8" hidden="0" customWidth="1"/>
  </x:cols>
  <x:sheetData>
    <x:row r="1">
      <x:c r="A1" s="5" t="str">
        <x:v>Task 3 – Flash Fill: Extract Username</x:v>
      </x:c>
      <x:c r="B1" s="5"/>
      <x:c r="C1" s="5"/>
    </x:row>
    <x:row r="3">
      <x:c r="A3" s="14" t="str">
        <x:v>Email Address</x:v>
      </x:c>
      <x:c r="B3" s="14" t="str">
        <x:v>Username (Flash Fill Output)</x:v>
      </x:c>
      <x:c r="C3" s="14" t="str">
        <x:v>Pattern</x:v>
      </x:c>
    </x:row>
    <x:row r="4">
      <x:c r="A4" s="20" t="str">
        <x:v>rahul.patel99@gmail.com</x:v>
      </x:c>
      <x:c r="B4" s="21" t="str">
        <x:v>rahul.patel99</x:v>
      </x:c>
      <x:c r="C4" s="22" t="str">
        <x:v>Text before @</x:v>
      </x:c>
    </x:row>
    <x:row r="5">
      <x:c r="A5" s="23" t="str">
        <x:v>priya.shah88@yahoo.com</x:v>
      </x:c>
      <x:c r="B5" s="24" t="str">
        <x:v>priya.shah88</x:v>
      </x:c>
      <x:c r="C5" s="25" t="str">
        <x:v>Text before @</x:v>
      </x:c>
    </x:row>
    <x:row r="6">
      <x:c r="A6" s="23" t="str">
        <x:v>amit.verma22@outlook.com</x:v>
      </x:c>
      <x:c r="B6" s="24" t="str">
        <x:v>amit.verma22</x:v>
      </x:c>
      <x:c r="C6" s="25" t="str">
        <x:v>Text before @</x:v>
      </x:c>
    </x:row>
    <x:row r="7">
      <x:c r="A7" s="23" t="str">
        <x:v>neha.jain07@gmail.com</x:v>
      </x:c>
      <x:c r="B7" s="24" t="str">
        <x:v>neha.jain07</x:v>
      </x:c>
      <x:c r="C7" s="25" t="str">
        <x:v>Text before @</x:v>
      </x:c>
    </x:row>
    <x:row r="8">
      <x:c r="A8" s="23" t="str">
        <x:v>vikas.rao55@hotmail.com</x:v>
      </x:c>
      <x:c r="B8" s="24" t="str">
        <x:v>vikas.rao55</x:v>
      </x:c>
      <x:c r="C8" s="25" t="str">
        <x:v>Text before @</x:v>
      </x:c>
    </x:row>
    <x:row r="9">
      <x:c r="A9" s="23" t="str">
        <x:v>sneha.kapoor10@gmail.com</x:v>
      </x:c>
      <x:c r="B9" s="24" t="str">
        <x:v>sneha.kapoor10</x:v>
      </x:c>
      <x:c r="C9" s="25" t="str">
        <x:v>Text before @</x:v>
      </x:c>
    </x:row>
    <x:row r="10">
      <x:c r="A10" s="23" t="str">
        <x:v>arjun.menon81@yahoo.com</x:v>
      </x:c>
      <x:c r="B10" s="24" t="str">
        <x:v>arjun.menon81</x:v>
      </x:c>
      <x:c r="C10" s="25" t="str">
        <x:v>Text before @</x:v>
      </x:c>
    </x:row>
    <x:row r="11">
      <x:c r="A11" s="23" t="str">
        <x:v>isha.mehta14@outlook.com</x:v>
      </x:c>
      <x:c r="B11" s="24" t="str">
        <x:v>isha.mehta14</x:v>
      </x:c>
      <x:c r="C11" s="25" t="str">
        <x:v>Text before @</x:v>
      </x:c>
    </x:row>
    <x:row r="12">
      <x:c r="A12" s="23" t="str">
        <x:v>rohan.gupta90@gmail.com</x:v>
      </x:c>
      <x:c r="B12" s="24" t="str">
        <x:v>rohan.gupta90</x:v>
      </x:c>
      <x:c r="C12" s="25" t="str">
        <x:v>Text before @</x:v>
      </x:c>
    </x:row>
    <x:row r="13">
      <x:c r="A13" s="23" t="str">
        <x:v>diya.patel45@gmail.com</x:v>
      </x:c>
      <x:c r="B13" s="24" t="str">
        <x:v>diya.patel45</x:v>
      </x:c>
      <x:c r="C13" s="25" t="str">
        <x:v>Text before @</x:v>
      </x:c>
    </x:row>
    <x:row r="14">
      <x:c r="A14" s="23" t="str">
        <x:v>kabir.rao18@yahoo.com</x:v>
      </x:c>
      <x:c r="B14" s="24" t="str">
        <x:v>kabir.rao18</x:v>
      </x:c>
      <x:c r="C14" s="25" t="str">
        <x:v>Text before @</x:v>
      </x:c>
    </x:row>
    <x:row r="15">
      <x:c r="A15" s="26" t="str">
        <x:v>nisha.verma76@outlook.com</x:v>
      </x:c>
      <x:c r="B15" s="27" t="str">
        <x:v>nisha.verma76</x:v>
      </x:c>
      <x:c r="C15" s="28" t="str">
        <x:v>Text before @</x:v>
      </x:c>
    </x:row>
    <x:row r="17">
      <x:c r="A17" s="38" t="str">
        <x:v>Excel action: type the first expected username, then use Data → Flash Fill (Ctrl+E).</x:v>
      </x:c>
      <x:c r="B17" s="38"/>
      <x:c r="C17" s="38"/>
    </x:row>
  </x:sheetData>
  <x:mergeCells>
    <x:mergeCell ref="A1:C1"/>
    <x:mergeCell ref="A17:C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</x:cols>
  <x:sheetData>
    <x:row r="1">
      <x:c r="A1" s="5" t="str">
        <x:v>Task 4 – Find &amp; Replace: 98 → 99</x:v>
      </x:c>
      <x:c r="B1" s="5"/>
      <x:c r="C1" s="5"/>
      <x:c r="D1" s="5"/>
    </x:row>
    <x:row r="3">
      <x:c r="A3" s="14" t="str">
        <x:v>Original Phone</x:v>
      </x:c>
      <x:c r="B3" s="14" t="str">
        <x:v>Find Pattern</x:v>
      </x:c>
      <x:c r="C3" s="14" t="str">
        <x:v>Fixed Phone</x:v>
      </x:c>
      <x:c r="D3" s="14" t="str">
        <x:v>Status</x:v>
      </x:c>
    </x:row>
    <x:row r="4">
      <x:c r="A4" s="20" t="str">
        <x:v>9876543210</x:v>
      </x:c>
      <x:c r="B4" s="21" t="str">
        <x:v>98????????</x:v>
      </x:c>
      <x:c r="C4" s="21" t="str">
        <x:v>9976543210</x:v>
      </x:c>
      <x:c r="D4" s="22" t="str">
        <x:v>Changed</x:v>
      </x:c>
    </x:row>
    <x:row r="5">
      <x:c r="A5" s="23" t="str">
        <x:v>9812345678</x:v>
      </x:c>
      <x:c r="B5" s="24" t="str">
        <x:v>98????????</x:v>
      </x:c>
      <x:c r="C5" s="24" t="str">
        <x:v>9912345678</x:v>
      </x:c>
      <x:c r="D5" s="25" t="str">
        <x:v>Changed</x:v>
      </x:c>
    </x:row>
    <x:row r="6">
      <x:c r="A6" s="23" t="str">
        <x:v>9123456780</x:v>
      </x:c>
      <x:c r="B6" s="24" t="str">
        <x:v>98????????</x:v>
      </x:c>
      <x:c r="C6" s="24" t="str">
        <x:v>9123456780</x:v>
      </x:c>
      <x:c r="D6" s="25" t="str">
        <x:v>No change</x:v>
      </x:c>
    </x:row>
    <x:row r="7">
      <x:c r="A7" s="23" t="str">
        <x:v>9898989898</x:v>
      </x:c>
      <x:c r="B7" s="24" t="str">
        <x:v>98????????</x:v>
      </x:c>
      <x:c r="C7" s="24" t="str">
        <x:v>9998989898</x:v>
      </x:c>
      <x:c r="D7" s="25" t="str">
        <x:v>Changed</x:v>
      </x:c>
    </x:row>
    <x:row r="8">
      <x:c r="A8" s="23" t="str">
        <x:v>9765432101</x:v>
      </x:c>
      <x:c r="B8" s="24" t="str">
        <x:v>98????????</x:v>
      </x:c>
      <x:c r="C8" s="24" t="str">
        <x:v>9765432101</x:v>
      </x:c>
      <x:c r="D8" s="25" t="str">
        <x:v>No change</x:v>
      </x:c>
    </x:row>
    <x:row r="9">
      <x:c r="A9" s="23" t="str">
        <x:v>9800112233</x:v>
      </x:c>
      <x:c r="B9" s="24" t="str">
        <x:v>98????????</x:v>
      </x:c>
      <x:c r="C9" s="24" t="str">
        <x:v>9900112233</x:v>
      </x:c>
      <x:c r="D9" s="25" t="str">
        <x:v>Changed</x:v>
      </x:c>
    </x:row>
    <x:row r="10">
      <x:c r="A10" s="23" t="str">
        <x:v>9011223344</x:v>
      </x:c>
      <x:c r="B10" s="24" t="str">
        <x:v>98????????</x:v>
      </x:c>
      <x:c r="C10" s="24" t="str">
        <x:v>9011223344</x:v>
      </x:c>
      <x:c r="D10" s="25" t="str">
        <x:v>No change</x:v>
      </x:c>
    </x:row>
    <x:row r="11">
      <x:c r="A11" s="23" t="str">
        <x:v>9834567890</x:v>
      </x:c>
      <x:c r="B11" s="24" t="str">
        <x:v>98????????</x:v>
      </x:c>
      <x:c r="C11" s="24" t="str">
        <x:v>9934567890</x:v>
      </x:c>
      <x:c r="D11" s="25" t="str">
        <x:v>Changed</x:v>
      </x:c>
    </x:row>
    <x:row r="12">
      <x:c r="A12" s="23" t="str">
        <x:v>9755512345</x:v>
      </x:c>
      <x:c r="B12" s="24" t="str">
        <x:v>98????????</x:v>
      </x:c>
      <x:c r="C12" s="24" t="str">
        <x:v>9755512345</x:v>
      </x:c>
      <x:c r="D12" s="25" t="str">
        <x:v>No change</x:v>
      </x:c>
    </x:row>
    <x:row r="13">
      <x:c r="A13" s="26" t="str">
        <x:v>9822200111</x:v>
      </x:c>
      <x:c r="B13" s="27" t="str">
        <x:v>98????????</x:v>
      </x:c>
      <x:c r="C13" s="27" t="str">
        <x:v>9922200111</x:v>
      </x:c>
      <x:c r="D13" s="28" t="str">
        <x:v>Changed</x:v>
      </x:c>
    </x:row>
    <x:row r="15">
      <x:c r="A15" s="71" t="str">
        <x:v>Excel Find field</x:v>
      </x:c>
      <x:c r="B15" s="72" t="str">
        <x:v>98????????</x:v>
      </x:c>
    </x:row>
    <x:row r="16">
      <x:c r="A16" s="23" t="str">
        <x:v>Final transformation</x:v>
      </x:c>
      <x:c r="B16" s="25" t="str">
        <x:v>98xxxxxxxx → 99xxxxxxxx</x:v>
      </x:c>
    </x:row>
    <x:row r="17">
      <x:c r="A17" s="26" t="str">
        <x:v>Note</x:v>
      </x:c>
      <x:c r="B17" s="28" t="str">
        <x:v>The fixed values are shown explicitly for audit/verification.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1" hidden="0" customWidth="1"/>
    <x:col min="4" max="4" width="24" hidden="0" customWidth="1"/>
    <x:col min="5" max="5" width="15" hidden="0" customWidth="1"/>
    <x:col min="6" max="6" width="22" hidden="0" customWidth="1"/>
    <x:col min="7" max="7" width="14" hidden="0" customWidth="1"/>
  </x:cols>
  <x:sheetData>
    <x:row r="1">
      <x:c r="A1" s="5" t="str">
        <x:v>Task 5 – IPL Player Statistics: Error Checking &amp; Fixes</x:v>
      </x:c>
      <x:c r="B1" s="5"/>
      <x:c r="C1" s="5"/>
      <x:c r="D1" s="5"/>
      <x:c r="E1" s="5"/>
      <x:c r="F1" s="5"/>
      <x:c r="G1" s="5"/>
    </x:row>
    <x:row r="3">
      <x:c r="A3" s="14" t="str">
        <x:v>Player</x:v>
      </x:c>
      <x:c r="B3" s="14" t="str">
        <x:v>Runs</x:v>
      </x:c>
      <x:c r="C3" s="14" t="str">
        <x:v>Matches</x:v>
      </x:c>
      <x:c r="D3" s="14" t="str">
        <x:v>Runs/Match – Before</x:v>
      </x:c>
      <x:c r="E3" s="14" t="str">
        <x:v>Issue</x:v>
      </x:c>
      <x:c r="F3" s="14" t="str">
        <x:v>Runs/Match – Fixed</x:v>
      </x:c>
      <x:c r="G3" s="14" t="str">
        <x:v>Validation</x:v>
      </x:c>
    </x:row>
    <x:row r="4">
      <x:c r="A4" s="20" t="str">
        <x:v>Virat Kohli</x:v>
      </x:c>
      <x:c r="B4" s="75" t="n">
        <x:v>741</x:v>
      </x:c>
      <x:c r="C4" s="75" t="n">
        <x:v>0</x:v>
      </x:c>
      <x:c r="D4" s="87" t="str">
        <x:f>IF(C4=0,"Error: division by zero",B4/C4)</x:f>
        <x:v>Error: division by zero</x:v>
      </x:c>
      <x:c r="E4" s="87" t="str">
        <x:v>#DIV/0! identified → denominator was 0</x:v>
      </x:c>
      <x:c r="F4" s="87" t="n">
        <x:f>IFERROR(B4/C4,0)</x:f>
        <x:v>0</x:v>
      </x:c>
      <x:c r="G4" s="22" t="str">
        <x:v>Valid</x:v>
      </x:c>
    </x:row>
    <x:row r="5">
      <x:c r="A5" s="23" t="str">
        <x:v>Rohit Sharma</x:v>
      </x:c>
      <x:c r="B5" s="76" t="n">
        <x:v>417</x:v>
      </x:c>
      <x:c r="C5" s="76" t="n">
        <x:v>9</x:v>
      </x:c>
      <x:c r="D5" s="88" t="n">
        <x:f>IFERROR(B5/C5,"Error: invalid value")</x:f>
        <x:v>46.333333333333336</x:v>
      </x:c>
      <x:c r="E5" s="88" t="str">
        <x:v>No error</x:v>
      </x:c>
      <x:c r="F5" s="88" t="n">
        <x:f>IFERROR(B5/C5,0)</x:f>
        <x:v>46.333333333333336</x:v>
      </x:c>
      <x:c r="G5" s="25" t="str">
        <x:v>Valid</x:v>
      </x:c>
    </x:row>
    <x:row r="6">
      <x:c r="A6" s="23" t="str">
        <x:v>Shubman Gill</x:v>
      </x:c>
      <x:c r="B6" s="76" t="n">
        <x:v>426</x:v>
      </x:c>
      <x:c r="C6" s="76" t="n">
        <x:v>11</x:v>
      </x:c>
      <x:c r="D6" s="88" t="n">
        <x:f>IFERROR(B6/C6,"Error: invalid value")</x:f>
        <x:v>38.72727272727273</x:v>
      </x:c>
      <x:c r="E6" s="88" t="str">
        <x:v>No error</x:v>
      </x:c>
      <x:c r="F6" s="88" t="n">
        <x:f>IFERROR(B6/C6,0)</x:f>
        <x:v>38.72727272727273</x:v>
      </x:c>
      <x:c r="G6" s="25" t="str">
        <x:v>Valid</x:v>
      </x:c>
    </x:row>
    <x:row r="7">
      <x:c r="A7" s="23" t="str">
        <x:v>Ruturaj Gaikwad</x:v>
      </x:c>
      <x:c r="B7" s="76" t="n">
        <x:v>312</x:v>
      </x:c>
      <x:c r="C7" s="76" t="n">
        <x:v>8</x:v>
      </x:c>
      <x:c r="D7" s="88" t="n">
        <x:f>IFERROR(B7/C7,"Error: invalid value")</x:f>
        <x:v>39</x:v>
      </x:c>
      <x:c r="E7" s="88" t="str">
        <x:v>No error</x:v>
      </x:c>
      <x:c r="F7" s="88" t="n">
        <x:f>IFERROR(B7/C7,0)</x:f>
        <x:v>39</x:v>
      </x:c>
      <x:c r="G7" s="25" t="str">
        <x:v>Valid</x:v>
      </x:c>
    </x:row>
    <x:row r="8">
      <x:c r="A8" s="23" t="str">
        <x:v>Jasprit Bumrah</x:v>
      </x:c>
      <x:c r="B8" s="76" t="str">
        <x:v>N/A</x:v>
      </x:c>
      <x:c r="C8" s="76" t="n">
        <x:v>7</x:v>
      </x:c>
      <x:c r="D8" s="88" t="str">
        <x:f>IF(ISNUMBER(B8),B8/C8,"Error: non-numeric input")</x:f>
        <x:v>Error: non-numeric input</x:v>
      </x:c>
      <x:c r="E8" s="88" t="str">
        <x:v>#VALUE! identified → Runs contains text</x:v>
      </x:c>
      <x:c r="F8" s="88" t="n">
        <x:f>IFERROR(IF(B8="N/A",0,B8/C8),0)</x:f>
        <x:v>0</x:v>
      </x:c>
      <x:c r="G8" s="25" t="str">
        <x:v>Valid</x:v>
      </x:c>
    </x:row>
    <x:row r="9">
      <x:c r="A9" s="26" t="str">
        <x:v>Suryakumar Yadav</x:v>
      </x:c>
      <x:c r="B9" s="77" t="n">
        <x:v>345</x:v>
      </x:c>
      <x:c r="C9" s="77" t="n">
        <x:v>8</x:v>
      </x:c>
      <x:c r="D9" s="89" t="n">
        <x:f>IFERROR(B9/C9,"Error: invalid value")</x:f>
        <x:v>43.125</x:v>
      </x:c>
      <x:c r="E9" s="89" t="str">
        <x:v>No error</x:v>
      </x:c>
      <x:c r="F9" s="89" t="n">
        <x:f>IFERROR(B9/C9,0)</x:f>
        <x:v>43.125</x:v>
      </x:c>
      <x:c r="G9" s="28" t="str">
        <x:v>Valid</x:v>
      </x:c>
    </x:row>
    <x:row r="11">
      <x:c r="A11" s="38" t="str">
        <x:v>Error Checking result: #DIV/0! and #VALUE! causes are documented; corrected formulas in column F return valid numeric results.</x:v>
      </x:c>
      <x:c r="B11" s="38"/>
      <x:c r="C11" s="38"/>
      <x:c r="D11" s="38"/>
      <x:c r="E11" s="38"/>
      <x:c r="F11" s="38"/>
      <x:c r="G11" s="38"/>
    </x:row>
  </x:sheetData>
  <x:mergeCells>
    <x:mergeCell ref="A1:G1"/>
    <x:mergeCell ref="A11:G11"/>
  </x:mergeCells>
  <x:pageMargins left="0.7" right="0.7" top="0.75" bottom="0.75" header="0.3" footer="0.3"/>
  <x:tableParts count="1">
    <x:tablePart xmlns:r="http://schemas.openxmlformats.org/officeDocument/2006/relationships" r:id="R9625e7c2a24d42c7"/>
  </x:tableParts>
</x:worksheet>
</file>