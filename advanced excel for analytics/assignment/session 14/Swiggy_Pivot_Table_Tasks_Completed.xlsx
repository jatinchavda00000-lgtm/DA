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DE4821-99C8-4BCB-91C5-F6796914D22B}" xr6:coauthVersionLast="36" xr6:coauthVersionMax="36" xr10:uidLastSave="{00000000-0000-0000-0000-000000000000}"/>
  <bookViews>
    <workbookView xWindow="0" yWindow="0" windowWidth="19200" windowHeight="6810" activeTab="5" xr2:uid="{00000000-000D-0000-FFFF-FFFF00000000}"/>
  </bookViews>
  <sheets>
    <sheet name="Raw Data" sheetId="1" r:id="rId1"/>
    <sheet name="RM" sheetId="2" r:id="rId2"/>
    <sheet name="Pivot Monthly" sheetId="3" r:id="rId3"/>
    <sheet name="Pivot Quarterly" sheetId="4" r:id="rId4"/>
    <sheet name="Dashboard" sheetId="5" r:id="rId5"/>
    <sheet name="Drilldown Q3" sheetId="6" r:id="rId6"/>
  </sheets>
  <calcPr calcId="191029"/>
</workbook>
</file>

<file path=xl/calcChain.xml><?xml version="1.0" encoding="utf-8"?>
<calcChain xmlns="http://schemas.openxmlformats.org/spreadsheetml/2006/main">
  <c r="B5" i="5" l="1"/>
  <c r="E5" i="5" s="1"/>
  <c r="B4" i="5"/>
  <c r="E4" i="5" s="1"/>
  <c r="E6" i="5" s="1"/>
  <c r="D5" i="4"/>
  <c r="C5" i="4"/>
  <c r="E5" i="4" s="1"/>
  <c r="D4" i="4"/>
  <c r="C4" i="4"/>
  <c r="E4" i="4" s="1"/>
  <c r="D6" i="3"/>
  <c r="C6" i="3"/>
  <c r="E6" i="3" s="1"/>
  <c r="D5" i="3"/>
  <c r="C5" i="3"/>
  <c r="E5" i="3" s="1"/>
  <c r="D4" i="3"/>
  <c r="D7" i="3" s="1"/>
  <c r="C4" i="3"/>
  <c r="E4" i="3" s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C11" i="5" s="1"/>
  <c r="H2" i="1"/>
  <c r="H4" i="3" s="1"/>
  <c r="F4" i="5" l="1"/>
  <c r="F6" i="5" s="1"/>
  <c r="F5" i="5"/>
  <c r="C7" i="3"/>
  <c r="E7" i="3" s="1"/>
  <c r="B9" i="5"/>
  <c r="C9" i="5"/>
  <c r="B10" i="5"/>
  <c r="C10" i="5"/>
  <c r="B11" i="5"/>
  <c r="D11" i="5" s="1"/>
  <c r="D9" i="5" l="1"/>
  <c r="D10" i="5"/>
</calcChain>
</file>

<file path=xl/sharedStrings.xml><?xml version="1.0" encoding="utf-8"?>
<sst xmlns="http://schemas.openxmlformats.org/spreadsheetml/2006/main" count="156" uniqueCount="70">
  <si>
    <t>Order ID</t>
  </si>
  <si>
    <t>User ID</t>
  </si>
  <si>
    <t>Restaurant ID</t>
  </si>
  <si>
    <t>Order Amount (₹)</t>
  </si>
  <si>
    <t>Order Date</t>
  </si>
  <si>
    <t>City</t>
  </si>
  <si>
    <t>Restaurant</t>
  </si>
  <si>
    <t>Year</t>
  </si>
  <si>
    <t>Month</t>
  </si>
  <si>
    <t>Quarter</t>
  </si>
  <si>
    <t>Order Count</t>
  </si>
  <si>
    <t>Ahmedabad</t>
  </si>
  <si>
    <t>Burger King</t>
  </si>
  <si>
    <t>Mumbai</t>
  </si>
  <si>
    <t>Domino's Pizza</t>
  </si>
  <si>
    <t>Delhi</t>
  </si>
  <si>
    <t>KFC</t>
  </si>
  <si>
    <t>Pune</t>
  </si>
  <si>
    <t>Subway</t>
  </si>
  <si>
    <t>Bengaluru</t>
  </si>
  <si>
    <t>McDonald's</t>
  </si>
  <si>
    <t>Swiggy Food Delivery – Pivot Analysis Workbook</t>
  </si>
  <si>
    <t>Task</t>
  </si>
  <si>
    <t>Completed output</t>
  </si>
  <si>
    <t>1</t>
  </si>
  <si>
    <t>Monthly + Yearly sales summary from order dates</t>
  </si>
  <si>
    <t>2</t>
  </si>
  <si>
    <t>Quarterly sales trend for latest year (2022)</t>
  </si>
  <si>
    <t>3</t>
  </si>
  <si>
    <t>Average Order Value (AOV) per month = total sales / orders</t>
  </si>
  <si>
    <t>4</t>
  </si>
  <si>
    <t>City slicer-style dropdown on Dashboard</t>
  </si>
  <si>
    <t>5</t>
  </si>
  <si>
    <t>Q3 drill-down worksheet with individual orders</t>
  </si>
  <si>
    <t>Data source</t>
  </si>
  <si>
    <t>Public Swiggy sample CSV (25 records)</t>
  </si>
  <si>
    <t>Source URL</t>
  </si>
  <si>
    <t>https://github.com/krishna-tiwari-ds/SQL-Project_Swiggy_Case-Study/blob/main/orders.csv</t>
  </si>
  <si>
    <t>Source note</t>
  </si>
  <si>
    <t>Order ID, User ID, Restaurant ID, Amount and Date are from the public sample CSV. City and Restaurant labels were added from the Restaurant-ID mapping needed for the slicer/drill-down exercise.</t>
  </si>
  <si>
    <t>Pivot Table – Sales by Year and Month</t>
  </si>
  <si>
    <t>Total Sales (₹)</t>
  </si>
  <si>
    <t>Orders</t>
  </si>
  <si>
    <t>AOV (₹)</t>
  </si>
  <si>
    <t>May</t>
  </si>
  <si>
    <t>Jun</t>
  </si>
  <si>
    <t>Jul</t>
  </si>
  <si>
    <t>Grand Total</t>
  </si>
  <si>
    <t>All Months</t>
  </si>
  <si>
    <t>Quarterly Sales Trend – Latest Year (2022)</t>
  </si>
  <si>
    <t>Q2</t>
  </si>
  <si>
    <t>Q3</t>
  </si>
  <si>
    <t>Swiggy Sales Dashboard</t>
  </si>
  <si>
    <t>City Filter</t>
  </si>
  <si>
    <t>All Cities</t>
  </si>
  <si>
    <t>Metric</t>
  </si>
  <si>
    <t>Latest Year</t>
  </si>
  <si>
    <t>Filtered Sales (₹)</t>
  </si>
  <si>
    <t>Filtered Orders</t>
  </si>
  <si>
    <t>Sales (₹)</t>
  </si>
  <si>
    <t>Filter</t>
  </si>
  <si>
    <t>Drill-down: Q3 2022 Sales – Individual Orders</t>
  </si>
  <si>
    <t>What Excel drill-down creates</t>
  </si>
  <si>
    <t>A new worksheet (typically named Sheet1 or similar).</t>
  </si>
  <si>
    <t>What it contains</t>
  </si>
  <si>
    <t>The individual order rows contributing to the selected PivotTable quarterly total.</t>
  </si>
  <si>
    <t>Selected total</t>
  </si>
  <si>
    <t>Q3 2022</t>
  </si>
  <si>
    <t>Rows shown here</t>
  </si>
  <si>
    <t>All July 2022 order records that contribute to Q3 2022 in this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</si>
</sst>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dd\-mmm\-yyyy"/>
    <numFmt numFmtId="166" formatCode="\₹#,##0.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1827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/>
    <xf numFmtId="166" fontId="0" fillId="0" borderId="0" xfId="0" applyNumberFormat="1" applyFont="1" applyFill="1" applyBorder="1"/>
    <xf numFmtId="166" fontId="4" fillId="4" borderId="0" xfId="0" applyNumberFormat="1" applyFont="1" applyFill="1" applyBorder="1"/>
    <xf numFmtId="0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Quarterly Sales Trend – 2022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 (₹)</c:v>
          </c:tx>
          <c:invertIfNegative val="1"/>
          <c:cat>
            <c:strRef>
              <c:f>'Pivot Quarterly'!$B$4:$B$5</c:f>
              <c:strCache>
                <c:ptCount val="2"/>
                <c:pt idx="0">
                  <c:v>Q2</c:v>
                </c:pt>
                <c:pt idx="1">
                  <c:v>Q3</c:v>
                </c:pt>
              </c:strCache>
            </c:strRef>
          </c:cat>
          <c:val>
            <c:numRef>
              <c:f>'Pivot Quarterly'!$C$4:$C$5</c:f>
              <c:numCache>
                <c:formatCode>\₹#,##0.00</c:formatCode>
                <c:ptCount val="2"/>
                <c:pt idx="0">
                  <c:v>5645</c:v>
                </c:pt>
                <c:pt idx="1">
                  <c:v>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5-4A21-9C8E-BA400348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Sales – City Filter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 (₹)</c:v>
          </c:tx>
          <c:marker>
            <c:symbol val="none"/>
          </c:marker>
          <c:cat>
            <c:strRef>
              <c:f>Dashboard!$A$9:$A$11</c:f>
              <c:strCache>
                <c:ptCount val="3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</c:strCache>
            </c:strRef>
          </c:cat>
          <c:val>
            <c:numRef>
              <c:f>Dashboard!$B$9:$B$11</c:f>
              <c:numCache>
                <c:formatCode>\₹#,##0.00</c:formatCode>
                <c:ptCount val="3"/>
                <c:pt idx="0">
                  <c:v>2425</c:v>
                </c:pt>
                <c:pt idx="1">
                  <c:v>3220</c:v>
                </c:pt>
                <c:pt idx="2">
                  <c:v>4845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32-45A1-8D73-A8BA70255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K26" totalsRowShown="0">
  <tableColumns count="11">
    <tableColumn id="1" xr3:uid="{00000000-0010-0000-0000-000001000000}" name="Order ID"/>
    <tableColumn id="2" xr3:uid="{00000000-0010-0000-0000-000002000000}" name="User ID"/>
    <tableColumn id="3" xr3:uid="{00000000-0010-0000-0000-000003000000}" name="Restaurant ID"/>
    <tableColumn id="4" xr3:uid="{00000000-0010-0000-0000-000004000000}" name="Order Amount (₹)"/>
    <tableColumn id="5" xr3:uid="{00000000-0010-0000-0000-000005000000}" name="Order Date"/>
    <tableColumn id="6" xr3:uid="{00000000-0010-0000-0000-000006000000}" name="City"/>
    <tableColumn id="7" xr3:uid="{00000000-0010-0000-0000-000007000000}" name="Restaurant"/>
    <tableColumn id="8" xr3:uid="{00000000-0010-0000-0000-000008000000}" name="Year"/>
    <tableColumn id="9" xr3:uid="{00000000-0010-0000-0000-000009000000}" name="Month"/>
    <tableColumn id="10" xr3:uid="{00000000-0010-0000-0000-00000A000000}" name="Quarter"/>
    <tableColumn id="11" xr3:uid="{00000000-0010-0000-0000-00000B000000}" name="Order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/>
  </sheetViews>
  <sheetFormatPr defaultRowHeight="14"/>
  <cols>
    <col min="1" max="1" width="12" customWidth="1"/>
    <col min="2" max="2" width="10" customWidth="1"/>
    <col min="3" max="3" width="15" customWidth="1"/>
    <col min="4" max="4" width="16" customWidth="1"/>
    <col min="5" max="6" width="14" customWidth="1"/>
    <col min="7" max="7" width="20" customWidth="1"/>
    <col min="8" max="11" width="12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1001</v>
      </c>
      <c r="B2" s="3">
        <v>1</v>
      </c>
      <c r="C2" s="3">
        <v>1</v>
      </c>
      <c r="D2" s="4">
        <v>550</v>
      </c>
      <c r="E2" s="5">
        <v>44691</v>
      </c>
      <c r="F2" s="3" t="s">
        <v>11</v>
      </c>
      <c r="G2" s="3" t="s">
        <v>12</v>
      </c>
      <c r="H2" s="3">
        <f t="shared" ref="H2:H26" si="0">YEAR(E2)</f>
        <v>2022</v>
      </c>
      <c r="I2" s="3" t="str">
        <f t="shared" ref="I2:I26" si="1">TEXT(E2,"mmm")</f>
        <v>May</v>
      </c>
      <c r="J2" s="3" t="str">
        <f t="shared" ref="J2:J26" si="2">"Q"&amp;ROUNDUP(MONTH(E2)/3,0)</f>
        <v>Q2</v>
      </c>
      <c r="K2" s="3">
        <f>1</f>
        <v>1</v>
      </c>
    </row>
    <row r="3" spans="1:11">
      <c r="A3" s="3">
        <v>1002</v>
      </c>
      <c r="B3" s="3">
        <v>1</v>
      </c>
      <c r="C3" s="3">
        <v>2</v>
      </c>
      <c r="D3" s="4">
        <v>415</v>
      </c>
      <c r="E3" s="5">
        <v>44707</v>
      </c>
      <c r="F3" s="3" t="s">
        <v>13</v>
      </c>
      <c r="G3" s="3" t="s">
        <v>14</v>
      </c>
      <c r="H3" s="3">
        <f t="shared" si="0"/>
        <v>2022</v>
      </c>
      <c r="I3" s="3" t="str">
        <f t="shared" si="1"/>
        <v>May</v>
      </c>
      <c r="J3" s="3" t="str">
        <f t="shared" si="2"/>
        <v>Q2</v>
      </c>
      <c r="K3" s="3">
        <f>1</f>
        <v>1</v>
      </c>
    </row>
    <row r="4" spans="1:11">
      <c r="A4" s="3">
        <v>1003</v>
      </c>
      <c r="B4" s="3">
        <v>1</v>
      </c>
      <c r="C4" s="3">
        <v>3</v>
      </c>
      <c r="D4" s="4">
        <v>240</v>
      </c>
      <c r="E4" s="5">
        <v>44727</v>
      </c>
      <c r="F4" s="3" t="s">
        <v>15</v>
      </c>
      <c r="G4" s="3" t="s">
        <v>16</v>
      </c>
      <c r="H4" s="3">
        <f t="shared" si="0"/>
        <v>2022</v>
      </c>
      <c r="I4" s="3" t="str">
        <f t="shared" si="1"/>
        <v>Jun</v>
      </c>
      <c r="J4" s="3" t="str">
        <f t="shared" si="2"/>
        <v>Q2</v>
      </c>
      <c r="K4" s="3">
        <f>1</f>
        <v>1</v>
      </c>
    </row>
    <row r="5" spans="1:11">
      <c r="A5" s="3">
        <v>1004</v>
      </c>
      <c r="B5" s="3">
        <v>1</v>
      </c>
      <c r="C5" s="3">
        <v>3</v>
      </c>
      <c r="D5" s="4">
        <v>240</v>
      </c>
      <c r="E5" s="5">
        <v>44741</v>
      </c>
      <c r="F5" s="3" t="s">
        <v>15</v>
      </c>
      <c r="G5" s="3" t="s">
        <v>16</v>
      </c>
      <c r="H5" s="3">
        <f t="shared" si="0"/>
        <v>2022</v>
      </c>
      <c r="I5" s="3" t="str">
        <f t="shared" si="1"/>
        <v>Jun</v>
      </c>
      <c r="J5" s="3" t="str">
        <f t="shared" si="2"/>
        <v>Q2</v>
      </c>
      <c r="K5" s="3">
        <f>1</f>
        <v>1</v>
      </c>
    </row>
    <row r="6" spans="1:11">
      <c r="A6" s="3">
        <v>1005</v>
      </c>
      <c r="B6" s="3">
        <v>1</v>
      </c>
      <c r="C6" s="3">
        <v>3</v>
      </c>
      <c r="D6" s="4">
        <v>220</v>
      </c>
      <c r="E6" s="5">
        <v>44752</v>
      </c>
      <c r="F6" s="3" t="s">
        <v>15</v>
      </c>
      <c r="G6" s="3" t="s">
        <v>16</v>
      </c>
      <c r="H6" s="3">
        <f t="shared" si="0"/>
        <v>2022</v>
      </c>
      <c r="I6" s="3" t="str">
        <f t="shared" si="1"/>
        <v>Jul</v>
      </c>
      <c r="J6" s="3" t="str">
        <f t="shared" si="2"/>
        <v>Q3</v>
      </c>
      <c r="K6" s="3">
        <f>1</f>
        <v>1</v>
      </c>
    </row>
    <row r="7" spans="1:11">
      <c r="A7" s="3">
        <v>1006</v>
      </c>
      <c r="B7" s="3">
        <v>2</v>
      </c>
      <c r="C7" s="3">
        <v>1</v>
      </c>
      <c r="D7" s="4">
        <v>950</v>
      </c>
      <c r="E7" s="5">
        <v>44722</v>
      </c>
      <c r="F7" s="3" t="s">
        <v>11</v>
      </c>
      <c r="G7" s="3" t="s">
        <v>12</v>
      </c>
      <c r="H7" s="3">
        <f t="shared" si="0"/>
        <v>2022</v>
      </c>
      <c r="I7" s="3" t="str">
        <f t="shared" si="1"/>
        <v>Jun</v>
      </c>
      <c r="J7" s="3" t="str">
        <f t="shared" si="2"/>
        <v>Q2</v>
      </c>
      <c r="K7" s="3">
        <f>1</f>
        <v>1</v>
      </c>
    </row>
    <row r="8" spans="1:11">
      <c r="A8" s="3">
        <v>1007</v>
      </c>
      <c r="B8" s="3">
        <v>2</v>
      </c>
      <c r="C8" s="3">
        <v>2</v>
      </c>
      <c r="D8" s="4">
        <v>530</v>
      </c>
      <c r="E8" s="5">
        <v>44735</v>
      </c>
      <c r="F8" s="3" t="s">
        <v>13</v>
      </c>
      <c r="G8" s="3" t="s">
        <v>14</v>
      </c>
      <c r="H8" s="3">
        <f t="shared" si="0"/>
        <v>2022</v>
      </c>
      <c r="I8" s="3" t="str">
        <f t="shared" si="1"/>
        <v>Jun</v>
      </c>
      <c r="J8" s="3" t="str">
        <f t="shared" si="2"/>
        <v>Q2</v>
      </c>
      <c r="K8" s="3">
        <f>1</f>
        <v>1</v>
      </c>
    </row>
    <row r="9" spans="1:11">
      <c r="A9" s="3">
        <v>1008</v>
      </c>
      <c r="B9" s="3">
        <v>2</v>
      </c>
      <c r="C9" s="3">
        <v>3</v>
      </c>
      <c r="D9" s="4">
        <v>240</v>
      </c>
      <c r="E9" s="5">
        <v>44749</v>
      </c>
      <c r="F9" s="3" t="s">
        <v>15</v>
      </c>
      <c r="G9" s="3" t="s">
        <v>16</v>
      </c>
      <c r="H9" s="3">
        <f t="shared" si="0"/>
        <v>2022</v>
      </c>
      <c r="I9" s="3" t="str">
        <f t="shared" si="1"/>
        <v>Jul</v>
      </c>
      <c r="J9" s="3" t="str">
        <f t="shared" si="2"/>
        <v>Q3</v>
      </c>
      <c r="K9" s="3">
        <f>1</f>
        <v>1</v>
      </c>
    </row>
    <row r="10" spans="1:11">
      <c r="A10" s="3">
        <v>1009</v>
      </c>
      <c r="B10" s="3">
        <v>2</v>
      </c>
      <c r="C10" s="3">
        <v>4</v>
      </c>
      <c r="D10" s="4">
        <v>300</v>
      </c>
      <c r="E10" s="5">
        <v>44759</v>
      </c>
      <c r="F10" s="3" t="s">
        <v>17</v>
      </c>
      <c r="G10" s="3" t="s">
        <v>18</v>
      </c>
      <c r="H10" s="3">
        <f t="shared" si="0"/>
        <v>2022</v>
      </c>
      <c r="I10" s="3" t="str">
        <f t="shared" si="1"/>
        <v>Jul</v>
      </c>
      <c r="J10" s="3" t="str">
        <f t="shared" si="2"/>
        <v>Q3</v>
      </c>
      <c r="K10" s="3">
        <f>1</f>
        <v>1</v>
      </c>
    </row>
    <row r="11" spans="1:11">
      <c r="A11" s="3">
        <v>1010</v>
      </c>
      <c r="B11" s="3">
        <v>2</v>
      </c>
      <c r="C11" s="3">
        <v>5</v>
      </c>
      <c r="D11" s="4">
        <v>650</v>
      </c>
      <c r="E11" s="5">
        <v>44773</v>
      </c>
      <c r="F11" s="3" t="s">
        <v>19</v>
      </c>
      <c r="G11" s="3" t="s">
        <v>20</v>
      </c>
      <c r="H11" s="3">
        <f t="shared" si="0"/>
        <v>2022</v>
      </c>
      <c r="I11" s="3" t="str">
        <f t="shared" si="1"/>
        <v>Jul</v>
      </c>
      <c r="J11" s="3" t="str">
        <f t="shared" si="2"/>
        <v>Q3</v>
      </c>
      <c r="K11" s="3">
        <f>1</f>
        <v>1</v>
      </c>
    </row>
    <row r="12" spans="1:11">
      <c r="A12" s="3">
        <v>1011</v>
      </c>
      <c r="B12" s="3">
        <v>3</v>
      </c>
      <c r="C12" s="3">
        <v>1</v>
      </c>
      <c r="D12" s="4">
        <v>450</v>
      </c>
      <c r="E12" s="5">
        <v>44691</v>
      </c>
      <c r="F12" s="3" t="s">
        <v>11</v>
      </c>
      <c r="G12" s="3" t="s">
        <v>12</v>
      </c>
      <c r="H12" s="3">
        <f t="shared" si="0"/>
        <v>2022</v>
      </c>
      <c r="I12" s="3" t="str">
        <f t="shared" si="1"/>
        <v>May</v>
      </c>
      <c r="J12" s="3" t="str">
        <f t="shared" si="2"/>
        <v>Q2</v>
      </c>
      <c r="K12" s="3">
        <f>1</f>
        <v>1</v>
      </c>
    </row>
    <row r="13" spans="1:11">
      <c r="A13" s="3">
        <v>1012</v>
      </c>
      <c r="B13" s="3">
        <v>3</v>
      </c>
      <c r="C13" s="3">
        <v>4</v>
      </c>
      <c r="D13" s="4">
        <v>180</v>
      </c>
      <c r="E13" s="5">
        <v>44701</v>
      </c>
      <c r="F13" s="3" t="s">
        <v>17</v>
      </c>
      <c r="G13" s="3" t="s">
        <v>18</v>
      </c>
      <c r="H13" s="3">
        <f t="shared" si="0"/>
        <v>2022</v>
      </c>
      <c r="I13" s="3" t="str">
        <f t="shared" si="1"/>
        <v>May</v>
      </c>
      <c r="J13" s="3" t="str">
        <f t="shared" si="2"/>
        <v>Q2</v>
      </c>
      <c r="K13" s="3">
        <f>1</f>
        <v>1</v>
      </c>
    </row>
    <row r="14" spans="1:11">
      <c r="A14" s="3">
        <v>1013</v>
      </c>
      <c r="B14" s="3">
        <v>3</v>
      </c>
      <c r="C14" s="3">
        <v>2</v>
      </c>
      <c r="D14" s="4">
        <v>230</v>
      </c>
      <c r="E14" s="5">
        <v>44711</v>
      </c>
      <c r="F14" s="3" t="s">
        <v>13</v>
      </c>
      <c r="G14" s="3" t="s">
        <v>14</v>
      </c>
      <c r="H14" s="3">
        <f t="shared" si="0"/>
        <v>2022</v>
      </c>
      <c r="I14" s="3" t="str">
        <f t="shared" si="1"/>
        <v>May</v>
      </c>
      <c r="J14" s="3" t="str">
        <f t="shared" si="2"/>
        <v>Q2</v>
      </c>
      <c r="K14" s="3">
        <f>1</f>
        <v>1</v>
      </c>
    </row>
    <row r="15" spans="1:11">
      <c r="A15" s="3">
        <v>1014</v>
      </c>
      <c r="B15" s="3">
        <v>3</v>
      </c>
      <c r="C15" s="3">
        <v>2</v>
      </c>
      <c r="D15" s="4">
        <v>230</v>
      </c>
      <c r="E15" s="5">
        <v>44723</v>
      </c>
      <c r="F15" s="3" t="s">
        <v>13</v>
      </c>
      <c r="G15" s="3" t="s">
        <v>14</v>
      </c>
      <c r="H15" s="3">
        <f t="shared" si="0"/>
        <v>2022</v>
      </c>
      <c r="I15" s="3" t="str">
        <f t="shared" si="1"/>
        <v>Jun</v>
      </c>
      <c r="J15" s="3" t="str">
        <f t="shared" si="2"/>
        <v>Q2</v>
      </c>
      <c r="K15" s="3">
        <f>1</f>
        <v>1</v>
      </c>
    </row>
    <row r="16" spans="1:11">
      <c r="A16" s="3">
        <v>1015</v>
      </c>
      <c r="B16" s="3">
        <v>3</v>
      </c>
      <c r="C16" s="3">
        <v>2</v>
      </c>
      <c r="D16" s="4">
        <v>230</v>
      </c>
      <c r="E16" s="5">
        <v>44734</v>
      </c>
      <c r="F16" s="3" t="s">
        <v>13</v>
      </c>
      <c r="G16" s="3" t="s">
        <v>14</v>
      </c>
      <c r="H16" s="3">
        <f t="shared" si="0"/>
        <v>2022</v>
      </c>
      <c r="I16" s="3" t="str">
        <f t="shared" si="1"/>
        <v>Jun</v>
      </c>
      <c r="J16" s="3" t="str">
        <f t="shared" si="2"/>
        <v>Q2</v>
      </c>
      <c r="K16" s="3">
        <f>1</f>
        <v>1</v>
      </c>
    </row>
    <row r="17" spans="1:11">
      <c r="A17" s="3">
        <v>1016</v>
      </c>
      <c r="B17" s="3">
        <v>4</v>
      </c>
      <c r="C17" s="3">
        <v>4</v>
      </c>
      <c r="D17" s="4">
        <v>300</v>
      </c>
      <c r="E17" s="5">
        <v>44696</v>
      </c>
      <c r="F17" s="3" t="s">
        <v>17</v>
      </c>
      <c r="G17" s="3" t="s">
        <v>18</v>
      </c>
      <c r="H17" s="3">
        <f t="shared" si="0"/>
        <v>2022</v>
      </c>
      <c r="I17" s="3" t="str">
        <f t="shared" si="1"/>
        <v>May</v>
      </c>
      <c r="J17" s="3" t="str">
        <f t="shared" si="2"/>
        <v>Q2</v>
      </c>
      <c r="K17" s="3">
        <f>1</f>
        <v>1</v>
      </c>
    </row>
    <row r="18" spans="1:11">
      <c r="A18" s="3">
        <v>1017</v>
      </c>
      <c r="B18" s="3">
        <v>4</v>
      </c>
      <c r="C18" s="3">
        <v>4</v>
      </c>
      <c r="D18" s="4">
        <v>300</v>
      </c>
      <c r="E18" s="5">
        <v>44711</v>
      </c>
      <c r="F18" s="3" t="s">
        <v>17</v>
      </c>
      <c r="G18" s="3" t="s">
        <v>18</v>
      </c>
      <c r="H18" s="3">
        <f t="shared" si="0"/>
        <v>2022</v>
      </c>
      <c r="I18" s="3" t="str">
        <f t="shared" si="1"/>
        <v>May</v>
      </c>
      <c r="J18" s="3" t="str">
        <f t="shared" si="2"/>
        <v>Q2</v>
      </c>
      <c r="K18" s="3">
        <f>1</f>
        <v>1</v>
      </c>
    </row>
    <row r="19" spans="1:11">
      <c r="A19" s="3">
        <v>1018</v>
      </c>
      <c r="B19" s="3">
        <v>4</v>
      </c>
      <c r="C19" s="3">
        <v>4</v>
      </c>
      <c r="D19" s="4">
        <v>400</v>
      </c>
      <c r="E19" s="5">
        <v>44727</v>
      </c>
      <c r="F19" s="3" t="s">
        <v>17</v>
      </c>
      <c r="G19" s="3" t="s">
        <v>18</v>
      </c>
      <c r="H19" s="3">
        <f t="shared" si="0"/>
        <v>2022</v>
      </c>
      <c r="I19" s="3" t="str">
        <f t="shared" si="1"/>
        <v>Jun</v>
      </c>
      <c r="J19" s="3" t="str">
        <f t="shared" si="2"/>
        <v>Q2</v>
      </c>
      <c r="K19" s="3">
        <f>1</f>
        <v>1</v>
      </c>
    </row>
    <row r="20" spans="1:11">
      <c r="A20" s="3">
        <v>1019</v>
      </c>
      <c r="B20" s="3">
        <v>4</v>
      </c>
      <c r="C20" s="3">
        <v>5</v>
      </c>
      <c r="D20" s="4">
        <v>400</v>
      </c>
      <c r="E20" s="5">
        <v>44742</v>
      </c>
      <c r="F20" s="3" t="s">
        <v>19</v>
      </c>
      <c r="G20" s="3" t="s">
        <v>20</v>
      </c>
      <c r="H20" s="3">
        <f t="shared" si="0"/>
        <v>2022</v>
      </c>
      <c r="I20" s="3" t="str">
        <f t="shared" si="1"/>
        <v>Jun</v>
      </c>
      <c r="J20" s="3" t="str">
        <f t="shared" si="2"/>
        <v>Q2</v>
      </c>
      <c r="K20" s="3">
        <f>1</f>
        <v>1</v>
      </c>
    </row>
    <row r="21" spans="1:11">
      <c r="A21" s="3">
        <v>1020</v>
      </c>
      <c r="B21" s="3">
        <v>4</v>
      </c>
      <c r="C21" s="3">
        <v>5</v>
      </c>
      <c r="D21" s="4">
        <v>400</v>
      </c>
      <c r="E21" s="5">
        <v>44757</v>
      </c>
      <c r="F21" s="3" t="s">
        <v>19</v>
      </c>
      <c r="G21" s="3" t="s">
        <v>20</v>
      </c>
      <c r="H21" s="3">
        <f t="shared" si="0"/>
        <v>2022</v>
      </c>
      <c r="I21" s="3" t="str">
        <f t="shared" si="1"/>
        <v>Jul</v>
      </c>
      <c r="J21" s="3" t="str">
        <f t="shared" si="2"/>
        <v>Q3</v>
      </c>
      <c r="K21" s="3">
        <f>1</f>
        <v>1</v>
      </c>
    </row>
    <row r="22" spans="1:11">
      <c r="A22" s="3">
        <v>1021</v>
      </c>
      <c r="B22" s="3">
        <v>5</v>
      </c>
      <c r="C22" s="3">
        <v>1</v>
      </c>
      <c r="D22" s="4">
        <v>550</v>
      </c>
      <c r="E22" s="5">
        <v>44743</v>
      </c>
      <c r="F22" s="3" t="s">
        <v>11</v>
      </c>
      <c r="G22" s="3" t="s">
        <v>12</v>
      </c>
      <c r="H22" s="3">
        <f t="shared" si="0"/>
        <v>2022</v>
      </c>
      <c r="I22" s="3" t="str">
        <f t="shared" si="1"/>
        <v>Jul</v>
      </c>
      <c r="J22" s="3" t="str">
        <f t="shared" si="2"/>
        <v>Q3</v>
      </c>
      <c r="K22" s="3">
        <f>1</f>
        <v>1</v>
      </c>
    </row>
    <row r="23" spans="1:11">
      <c r="A23" s="3">
        <v>1022</v>
      </c>
      <c r="B23" s="3">
        <v>5</v>
      </c>
      <c r="C23" s="3">
        <v>1</v>
      </c>
      <c r="D23" s="4">
        <v>550</v>
      </c>
      <c r="E23" s="5">
        <v>44750</v>
      </c>
      <c r="F23" s="3" t="s">
        <v>11</v>
      </c>
      <c r="G23" s="3" t="s">
        <v>12</v>
      </c>
      <c r="H23" s="3">
        <f t="shared" si="0"/>
        <v>2022</v>
      </c>
      <c r="I23" s="3" t="str">
        <f t="shared" si="1"/>
        <v>Jul</v>
      </c>
      <c r="J23" s="3" t="str">
        <f t="shared" si="2"/>
        <v>Q3</v>
      </c>
      <c r="K23" s="3">
        <f>1</f>
        <v>1</v>
      </c>
    </row>
    <row r="24" spans="1:11">
      <c r="A24" s="3">
        <v>1023</v>
      </c>
      <c r="B24" s="3">
        <v>5</v>
      </c>
      <c r="C24" s="3">
        <v>2</v>
      </c>
      <c r="D24" s="4">
        <v>645</v>
      </c>
      <c r="E24" s="5">
        <v>44757</v>
      </c>
      <c r="F24" s="3" t="s">
        <v>13</v>
      </c>
      <c r="G24" s="3" t="s">
        <v>14</v>
      </c>
      <c r="H24" s="3">
        <f t="shared" si="0"/>
        <v>2022</v>
      </c>
      <c r="I24" s="3" t="str">
        <f t="shared" si="1"/>
        <v>Jul</v>
      </c>
      <c r="J24" s="3" t="str">
        <f t="shared" si="2"/>
        <v>Q3</v>
      </c>
      <c r="K24" s="3">
        <f>1</f>
        <v>1</v>
      </c>
    </row>
    <row r="25" spans="1:11">
      <c r="A25" s="3">
        <v>1024</v>
      </c>
      <c r="B25" s="3">
        <v>5</v>
      </c>
      <c r="C25" s="3">
        <v>2</v>
      </c>
      <c r="D25" s="4">
        <v>645</v>
      </c>
      <c r="E25" s="5">
        <v>44763</v>
      </c>
      <c r="F25" s="3" t="s">
        <v>13</v>
      </c>
      <c r="G25" s="3" t="s">
        <v>14</v>
      </c>
      <c r="H25" s="3">
        <f t="shared" si="0"/>
        <v>2022</v>
      </c>
      <c r="I25" s="3" t="str">
        <f t="shared" si="1"/>
        <v>Jul</v>
      </c>
      <c r="J25" s="3" t="str">
        <f t="shared" si="2"/>
        <v>Q3</v>
      </c>
      <c r="K25" s="3">
        <f>1</f>
        <v>1</v>
      </c>
    </row>
    <row r="26" spans="1:11">
      <c r="A26" s="3">
        <v>1025</v>
      </c>
      <c r="B26" s="3">
        <v>5</v>
      </c>
      <c r="C26" s="3">
        <v>2</v>
      </c>
      <c r="D26" s="4">
        <v>645</v>
      </c>
      <c r="E26" s="5">
        <v>44770</v>
      </c>
      <c r="F26" s="3" t="s">
        <v>13</v>
      </c>
      <c r="G26" s="3" t="s">
        <v>14</v>
      </c>
      <c r="H26" s="3">
        <f t="shared" si="0"/>
        <v>2022</v>
      </c>
      <c r="I26" s="3" t="str">
        <f t="shared" si="1"/>
        <v>Jul</v>
      </c>
      <c r="J26" s="3" t="str">
        <f t="shared" si="2"/>
        <v>Q3</v>
      </c>
      <c r="K26" s="3">
        <f>1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B4" sqref="B4"/>
    </sheetView>
  </sheetViews>
  <sheetFormatPr defaultRowHeight="14"/>
  <cols>
    <col min="1" max="1" width="24" customWidth="1"/>
    <col min="2" max="2" width="95" customWidth="1"/>
  </cols>
  <sheetData>
    <row r="1" spans="1:8" ht="20">
      <c r="A1" s="10" t="s">
        <v>21</v>
      </c>
      <c r="B1" s="11"/>
      <c r="C1" s="11"/>
      <c r="D1" s="11"/>
      <c r="E1" s="11"/>
      <c r="F1" s="11"/>
      <c r="G1" s="11"/>
      <c r="H1" s="11"/>
    </row>
    <row r="3" spans="1:8">
      <c r="A3" s="2" t="s">
        <v>22</v>
      </c>
      <c r="B3" s="2" t="s">
        <v>23</v>
      </c>
    </row>
    <row r="4" spans="1:8">
      <c r="A4" s="3" t="s">
        <v>24</v>
      </c>
      <c r="B4" s="3" t="s">
        <v>25</v>
      </c>
    </row>
    <row r="5" spans="1:8">
      <c r="A5" s="3" t="s">
        <v>26</v>
      </c>
      <c r="B5" s="3" t="s">
        <v>27</v>
      </c>
    </row>
    <row r="6" spans="1:8">
      <c r="A6" s="3" t="s">
        <v>28</v>
      </c>
      <c r="B6" s="3" t="s">
        <v>29</v>
      </c>
    </row>
    <row r="7" spans="1:8">
      <c r="A7" s="3" t="s">
        <v>30</v>
      </c>
      <c r="B7" s="3" t="s">
        <v>31</v>
      </c>
    </row>
    <row r="8" spans="1:8">
      <c r="A8" s="3" t="s">
        <v>32</v>
      </c>
      <c r="B8" s="3" t="s">
        <v>33</v>
      </c>
    </row>
    <row r="9" spans="1:8">
      <c r="A9" s="3" t="s">
        <v>34</v>
      </c>
      <c r="B9" s="3" t="s">
        <v>35</v>
      </c>
    </row>
    <row r="10" spans="1:8">
      <c r="A10" s="3" t="s">
        <v>36</v>
      </c>
      <c r="B10" s="3" t="s">
        <v>37</v>
      </c>
    </row>
    <row r="11" spans="1:8" ht="28">
      <c r="A11" s="3" t="s">
        <v>38</v>
      </c>
      <c r="B11" s="3" t="s">
        <v>39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sqref="A1:E1"/>
    </sheetView>
  </sheetViews>
  <sheetFormatPr defaultRowHeight="14"/>
  <cols>
    <col min="1" max="1" width="12" customWidth="1"/>
    <col min="2" max="2" width="14" customWidth="1"/>
    <col min="3" max="5" width="18" customWidth="1"/>
    <col min="7" max="7" width="12" customWidth="1"/>
    <col min="8" max="8" width="18" customWidth="1"/>
  </cols>
  <sheetData>
    <row r="1" spans="1:8" ht="19">
      <c r="A1" s="12" t="s">
        <v>40</v>
      </c>
      <c r="B1" s="11"/>
      <c r="C1" s="11"/>
      <c r="D1" s="11"/>
      <c r="E1" s="11"/>
    </row>
    <row r="3" spans="1:8">
      <c r="A3" s="1" t="s">
        <v>7</v>
      </c>
      <c r="B3" s="1" t="s">
        <v>8</v>
      </c>
      <c r="C3" s="1" t="s">
        <v>41</v>
      </c>
      <c r="D3" s="1" t="s">
        <v>42</v>
      </c>
      <c r="E3" s="1" t="s">
        <v>43</v>
      </c>
      <c r="G3" s="1" t="s">
        <v>7</v>
      </c>
      <c r="H3" s="1" t="s">
        <v>41</v>
      </c>
    </row>
    <row r="4" spans="1:8">
      <c r="A4" s="9">
        <v>2022</v>
      </c>
      <c r="B4" s="9" t="s">
        <v>44</v>
      </c>
      <c r="C4" s="7">
        <f>SUMIFS('Raw Data'!$D$2:$D$26,'Raw Data'!$H$2:$H$26,A4,'Raw Data'!$I$2:$I$26,B4)</f>
        <v>2425</v>
      </c>
      <c r="D4" s="7">
        <f>COUNTIFS('Raw Data'!$H$2:$H$26,A4,'Raw Data'!$I$2:$I$26,B4)</f>
        <v>7</v>
      </c>
      <c r="E4" s="7">
        <f>IFERROR(C4/D4,0)</f>
        <v>346.42857142857144</v>
      </c>
      <c r="G4">
        <v>2022</v>
      </c>
      <c r="H4" s="7">
        <f>SUMIFS('Raw Data'!$D$2:$D$26,'Raw Data'!$H$2:$H$26,G4)</f>
        <v>10490</v>
      </c>
    </row>
    <row r="5" spans="1:8">
      <c r="A5" s="9">
        <v>2022</v>
      </c>
      <c r="B5" s="9" t="s">
        <v>45</v>
      </c>
      <c r="C5" s="7">
        <f>SUMIFS('Raw Data'!$D$2:$D$26,'Raw Data'!$H$2:$H$26,A5,'Raw Data'!$I$2:$I$26,B5)</f>
        <v>3220</v>
      </c>
      <c r="D5" s="7">
        <f>COUNTIFS('Raw Data'!$H$2:$H$26,A5,'Raw Data'!$I$2:$I$26,B5)</f>
        <v>8</v>
      </c>
      <c r="E5" s="7">
        <f>IFERROR(C5/D5,0)</f>
        <v>402.5</v>
      </c>
    </row>
    <row r="6" spans="1:8">
      <c r="A6" s="9">
        <v>2022</v>
      </c>
      <c r="B6" s="9" t="s">
        <v>46</v>
      </c>
      <c r="C6" s="7">
        <f>SUMIFS('Raw Data'!$D$2:$D$26,'Raw Data'!$H$2:$H$26,A6,'Raw Data'!$I$2:$I$26,B6)</f>
        <v>4845</v>
      </c>
      <c r="D6" s="7">
        <f>COUNTIFS('Raw Data'!$H$2:$H$26,A6,'Raw Data'!$I$2:$I$26,B6)</f>
        <v>10</v>
      </c>
      <c r="E6" s="7">
        <f>IFERROR(C6/D6,0)</f>
        <v>484.5</v>
      </c>
    </row>
    <row r="7" spans="1:8">
      <c r="A7" s="6" t="s">
        <v>47</v>
      </c>
      <c r="B7" s="6" t="s">
        <v>48</v>
      </c>
      <c r="C7" s="8">
        <f>SUM(C4:C6)</f>
        <v>10490</v>
      </c>
      <c r="D7" s="8">
        <f>SUM(D4:D6)</f>
        <v>25</v>
      </c>
      <c r="E7" s="8">
        <f>IFERROR(C7/D7,0)</f>
        <v>419.6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sqref="A1:E1"/>
    </sheetView>
  </sheetViews>
  <sheetFormatPr defaultRowHeight="14"/>
  <cols>
    <col min="1" max="2" width="12" customWidth="1"/>
    <col min="3" max="5" width="18" customWidth="1"/>
  </cols>
  <sheetData>
    <row r="1" spans="1:5" ht="19">
      <c r="A1" s="12" t="s">
        <v>49</v>
      </c>
      <c r="B1" s="11"/>
      <c r="C1" s="11"/>
      <c r="D1" s="11"/>
      <c r="E1" s="11"/>
    </row>
    <row r="3" spans="1:5">
      <c r="A3" s="1" t="s">
        <v>7</v>
      </c>
      <c r="B3" s="1" t="s">
        <v>9</v>
      </c>
      <c r="C3" s="1" t="s">
        <v>41</v>
      </c>
      <c r="D3" s="1" t="s">
        <v>42</v>
      </c>
      <c r="E3" s="1" t="s">
        <v>43</v>
      </c>
    </row>
    <row r="4" spans="1:5">
      <c r="A4" s="9">
        <v>2022</v>
      </c>
      <c r="B4" s="9" t="s">
        <v>50</v>
      </c>
      <c r="C4" s="7">
        <f>SUMIFS('Raw Data'!$D$2:$D$26,'Raw Data'!$H$2:$H$26,A4,'Raw Data'!$J$2:$J$26,B4)</f>
        <v>5645</v>
      </c>
      <c r="D4" s="7">
        <f>COUNTIFS('Raw Data'!$H$2:$H$26,A4,'Raw Data'!$J$2:$J$26,B4)</f>
        <v>15</v>
      </c>
      <c r="E4" s="7">
        <f>IFERROR(C4/D4,0)</f>
        <v>376.33333333333331</v>
      </c>
    </row>
    <row r="5" spans="1:5">
      <c r="A5" s="9">
        <v>2022</v>
      </c>
      <c r="B5" s="9" t="s">
        <v>51</v>
      </c>
      <c r="C5" s="7">
        <f>SUMIFS('Raw Data'!$D$2:$D$26,'Raw Data'!$H$2:$H$26,A5,'Raw Data'!$J$2:$J$26,B5)</f>
        <v>4845</v>
      </c>
      <c r="D5" s="7">
        <f>COUNTIFS('Raw Data'!$H$2:$H$26,A5,'Raw Data'!$J$2:$J$26,B5)</f>
        <v>10</v>
      </c>
      <c r="E5" s="7">
        <f>IFERROR(C5/D5,0)</f>
        <v>484.5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sqref="A1:H1"/>
    </sheetView>
  </sheetViews>
  <sheetFormatPr defaultRowHeight="14"/>
  <cols>
    <col min="1" max="1" width="24" customWidth="1"/>
    <col min="2" max="2" width="18" customWidth="1"/>
    <col min="4" max="6" width="18" customWidth="1"/>
  </cols>
  <sheetData>
    <row r="1" spans="1:8" ht="23">
      <c r="A1" s="13" t="s">
        <v>52</v>
      </c>
      <c r="B1" s="11"/>
      <c r="C1" s="11"/>
      <c r="D1" s="11"/>
      <c r="E1" s="11"/>
      <c r="F1" s="11"/>
      <c r="G1" s="11"/>
      <c r="H1" s="11"/>
    </row>
    <row r="3" spans="1:8">
      <c r="A3" s="1" t="s">
        <v>53</v>
      </c>
      <c r="B3" s="1" t="s">
        <v>54</v>
      </c>
      <c r="D3" s="1" t="s">
        <v>55</v>
      </c>
      <c r="E3" s="1" t="s">
        <v>54</v>
      </c>
      <c r="F3" s="1" t="s">
        <v>56</v>
      </c>
    </row>
    <row r="4" spans="1:8">
      <c r="A4" s="9" t="s">
        <v>57</v>
      </c>
      <c r="B4" s="7">
        <f>IF(B3="All Cities",SUM('Raw Data'!$D$2:$D$26),SUMIFS('Raw Data'!$D$2:$D$26,'Raw Data'!$F$2:$F$26,B3))</f>
        <v>10490</v>
      </c>
      <c r="D4" s="9" t="s">
        <v>41</v>
      </c>
      <c r="E4" s="7">
        <f>B4</f>
        <v>10490</v>
      </c>
      <c r="F4" s="7">
        <f>SUM('Pivot Monthly'!$C$4:$C$6)</f>
        <v>10490</v>
      </c>
    </row>
    <row r="5" spans="1:8">
      <c r="A5" s="9" t="s">
        <v>58</v>
      </c>
      <c r="B5" s="9">
        <f>IF(B3="All Cities",COUNT('Raw Data'!$A$2:$A$26),COUNTIFS('Raw Data'!$F$2:$F$26,B3))</f>
        <v>25</v>
      </c>
      <c r="D5" s="9" t="s">
        <v>42</v>
      </c>
      <c r="E5" s="7">
        <f>B5</f>
        <v>25</v>
      </c>
      <c r="F5" s="7">
        <f>SUM('Pivot Monthly'!$D$4:$D$6)</f>
        <v>25</v>
      </c>
    </row>
    <row r="6" spans="1:8">
      <c r="D6" s="9" t="s">
        <v>43</v>
      </c>
      <c r="E6" s="7">
        <f>IFERROR(E4/E5,0)</f>
        <v>419.6</v>
      </c>
      <c r="F6" s="7">
        <f>IFERROR(F4/F5,0)</f>
        <v>419.6</v>
      </c>
    </row>
    <row r="8" spans="1:8">
      <c r="A8" s="1" t="s">
        <v>8</v>
      </c>
      <c r="B8" s="1" t="s">
        <v>59</v>
      </c>
      <c r="C8" s="1" t="s">
        <v>42</v>
      </c>
      <c r="D8" s="1" t="s">
        <v>43</v>
      </c>
      <c r="E8" s="1" t="s">
        <v>60</v>
      </c>
    </row>
    <row r="9" spans="1:8">
      <c r="A9" s="9" t="s">
        <v>44</v>
      </c>
      <c r="B9" s="7">
        <f>IF($B$3="All Cities",SUMIFS('Raw Data'!$D$2:$D$26,'Raw Data'!$I$2:$I$26,$A9),SUMIFS('Raw Data'!$D$2:$D$26,'Raw Data'!$I$2:$I$26,$A9,'Raw Data'!$F$2:$F$26,$B$3))</f>
        <v>2425</v>
      </c>
      <c r="C9" s="7">
        <f>IF($B$3="All Cities",COUNTIFS('Raw Data'!$I$2:$I$26,$A9),COUNTIFS('Raw Data'!$I$2:$I$26,$A9,'Raw Data'!$F$2:$F$26,$B$3))</f>
        <v>7</v>
      </c>
      <c r="D9" s="7">
        <f>IFERROR(B9/C9,0)</f>
        <v>346.42857142857144</v>
      </c>
      <c r="E9" s="9"/>
    </row>
    <row r="10" spans="1:8">
      <c r="A10" s="9" t="s">
        <v>45</v>
      </c>
      <c r="B10" s="7">
        <f>IF($B$3="All Cities",SUMIFS('Raw Data'!$D$2:$D$26,'Raw Data'!$I$2:$I$26,$A10),SUMIFS('Raw Data'!$D$2:$D$26,'Raw Data'!$I$2:$I$26,$A10,'Raw Data'!$F$2:$F$26,$B$3))</f>
        <v>3220</v>
      </c>
      <c r="C10" s="7">
        <f>IF($B$3="All Cities",COUNTIFS('Raw Data'!$I$2:$I$26,$A10),COUNTIFS('Raw Data'!$I$2:$I$26,$A10,'Raw Data'!$F$2:$F$26,$B$3))</f>
        <v>8</v>
      </c>
      <c r="D10" s="7">
        <f>IFERROR(B10/C10,0)</f>
        <v>402.5</v>
      </c>
      <c r="E10" s="9"/>
    </row>
    <row r="11" spans="1:8">
      <c r="A11" s="9" t="s">
        <v>46</v>
      </c>
      <c r="B11" s="7">
        <f>IF($B$3="All Cities",SUMIFS('Raw Data'!$D$2:$D$26,'Raw Data'!$I$2:$I$26,$A11),SUMIFS('Raw Data'!$D$2:$D$26,'Raw Data'!$I$2:$I$26,$A11,'Raw Data'!$F$2:$F$26,$B$3))</f>
        <v>4845</v>
      </c>
      <c r="C11" s="7">
        <f>IF($B$3="All Cities",COUNTIFS('Raw Data'!$I$2:$I$26,$A11),COUNTIFS('Raw Data'!$I$2:$I$26,$A11,'Raw Data'!$F$2:$F$26,$B$3))</f>
        <v>10</v>
      </c>
      <c r="D11" s="7">
        <f>IFERROR(B11/C11,0)</f>
        <v>484.5</v>
      </c>
      <c r="E11" s="9"/>
    </row>
  </sheetData>
  <mergeCells count="1">
    <mergeCell ref="A1:H1"/>
  </mergeCells>
  <dataValidations count="1">
    <dataValidation type="list" sqref="B3" xr:uid="{00000000-0002-0000-0400-000000000000}">
      <formula1>"All Cities,Ahmedabad,Mumbai,Delhi,Pune,Bengaluru"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tabSelected="1" zoomScale="92" workbookViewId="0">
      <selection sqref="A1:G1"/>
    </sheetView>
  </sheetViews>
  <sheetFormatPr defaultRowHeight="14"/>
  <cols>
    <col min="1" max="1" width="12" customWidth="1"/>
    <col min="2" max="2" width="10" customWidth="1"/>
    <col min="3" max="3" width="14" customWidth="1"/>
    <col min="4" max="4" width="17" customWidth="1"/>
    <col min="5" max="6" width="14" customWidth="1"/>
    <col min="7" max="7" width="20" customWidth="1"/>
    <col min="9" max="9" width="28" customWidth="1"/>
    <col min="10" max="10" width="70" customWidth="1"/>
  </cols>
  <sheetData>
    <row r="1" spans="1:10" ht="19">
      <c r="A1" s="12" t="s">
        <v>61</v>
      </c>
      <c r="B1" s="11"/>
      <c r="C1" s="11"/>
      <c r="D1" s="11"/>
      <c r="E1" s="11"/>
      <c r="F1" s="11"/>
      <c r="G1" s="11"/>
    </row>
    <row r="3" spans="1:1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2" t="s">
        <v>62</v>
      </c>
      <c r="J3" s="3" t="s">
        <v>63</v>
      </c>
    </row>
    <row r="4" spans="1:10">
      <c r="A4" s="3">
        <v>1005</v>
      </c>
      <c r="B4" s="3">
        <v>1</v>
      </c>
      <c r="C4" s="3">
        <v>3</v>
      </c>
      <c r="D4" s="4">
        <v>220</v>
      </c>
      <c r="E4" s="5">
        <v>44752</v>
      </c>
      <c r="F4" s="3" t="s">
        <v>15</v>
      </c>
      <c r="G4" s="3" t="s">
        <v>16</v>
      </c>
      <c r="I4" s="2" t="s">
        <v>64</v>
      </c>
      <c r="J4" s="3" t="s">
        <v>65</v>
      </c>
    </row>
    <row r="5" spans="1:10">
      <c r="A5" s="3">
        <v>1008</v>
      </c>
      <c r="B5" s="3">
        <v>2</v>
      </c>
      <c r="C5" s="3">
        <v>3</v>
      </c>
      <c r="D5" s="4">
        <v>240</v>
      </c>
      <c r="E5" s="5">
        <v>44749</v>
      </c>
      <c r="F5" s="3" t="s">
        <v>15</v>
      </c>
      <c r="G5" s="3" t="s">
        <v>16</v>
      </c>
      <c r="I5" s="2" t="s">
        <v>66</v>
      </c>
      <c r="J5" s="3" t="s">
        <v>67</v>
      </c>
    </row>
    <row r="6" spans="1:10">
      <c r="A6" s="3">
        <v>1009</v>
      </c>
      <c r="B6" s="3">
        <v>2</v>
      </c>
      <c r="C6" s="3">
        <v>4</v>
      </c>
      <c r="D6" s="4">
        <v>300</v>
      </c>
      <c r="E6" s="5">
        <v>44759</v>
      </c>
      <c r="F6" s="3" t="s">
        <v>17</v>
      </c>
      <c r="G6" s="3" t="s">
        <v>18</v>
      </c>
      <c r="I6" s="2" t="s">
        <v>68</v>
      </c>
      <c r="J6" s="3" t="s">
        <v>69</v>
      </c>
    </row>
    <row r="7" spans="1:10">
      <c r="A7" s="3">
        <v>1010</v>
      </c>
      <c r="B7" s="3">
        <v>2</v>
      </c>
      <c r="C7" s="3">
        <v>5</v>
      </c>
      <c r="D7" s="4">
        <v>650</v>
      </c>
      <c r="E7" s="5">
        <v>44773</v>
      </c>
      <c r="F7" s="3" t="s">
        <v>19</v>
      </c>
      <c r="G7" s="3" t="s">
        <v>20</v>
      </c>
    </row>
    <row r="8" spans="1:10">
      <c r="A8" s="3">
        <v>1020</v>
      </c>
      <c r="B8" s="3">
        <v>4</v>
      </c>
      <c r="C8" s="3">
        <v>5</v>
      </c>
      <c r="D8" s="4">
        <v>400</v>
      </c>
      <c r="E8" s="5">
        <v>44757</v>
      </c>
      <c r="F8" s="3" t="s">
        <v>19</v>
      </c>
      <c r="G8" s="3" t="s">
        <v>20</v>
      </c>
    </row>
    <row r="9" spans="1:10">
      <c r="A9" s="3">
        <v>1021</v>
      </c>
      <c r="B9" s="3">
        <v>5</v>
      </c>
      <c r="C9" s="3">
        <v>1</v>
      </c>
      <c r="D9" s="4">
        <v>550</v>
      </c>
      <c r="E9" s="5">
        <v>44743</v>
      </c>
      <c r="F9" s="3" t="s">
        <v>11</v>
      </c>
      <c r="G9" s="3" t="s">
        <v>12</v>
      </c>
    </row>
    <row r="10" spans="1:10">
      <c r="A10" s="3">
        <v>1022</v>
      </c>
      <c r="B10" s="3">
        <v>5</v>
      </c>
      <c r="C10" s="3">
        <v>1</v>
      </c>
      <c r="D10" s="4">
        <v>550</v>
      </c>
      <c r="E10" s="5">
        <v>44750</v>
      </c>
      <c r="F10" s="3" t="s">
        <v>11</v>
      </c>
      <c r="G10" s="3" t="s">
        <v>12</v>
      </c>
    </row>
    <row r="11" spans="1:10">
      <c r="A11" s="3">
        <v>1023</v>
      </c>
      <c r="B11" s="3">
        <v>5</v>
      </c>
      <c r="C11" s="3">
        <v>2</v>
      </c>
      <c r="D11" s="4">
        <v>645</v>
      </c>
      <c r="E11" s="5">
        <v>44757</v>
      </c>
      <c r="F11" s="3" t="s">
        <v>13</v>
      </c>
      <c r="G11" s="3" t="s">
        <v>14</v>
      </c>
    </row>
    <row r="12" spans="1:10">
      <c r="A12" s="3">
        <v>1024</v>
      </c>
      <c r="B12" s="3">
        <v>5</v>
      </c>
      <c r="C12" s="3">
        <v>2</v>
      </c>
      <c r="D12" s="4">
        <v>645</v>
      </c>
      <c r="E12" s="5">
        <v>44763</v>
      </c>
      <c r="F12" s="3" t="s">
        <v>13</v>
      </c>
      <c r="G12" s="3" t="s">
        <v>14</v>
      </c>
    </row>
    <row r="13" spans="1:10">
      <c r="A13" s="3">
        <v>1025</v>
      </c>
      <c r="B13" s="3">
        <v>5</v>
      </c>
      <c r="C13" s="3">
        <v>2</v>
      </c>
      <c r="D13" s="4">
        <v>645</v>
      </c>
      <c r="E13" s="5">
        <v>44770</v>
      </c>
      <c r="F13" s="3" t="s">
        <v>13</v>
      </c>
      <c r="G13" s="3" t="s">
        <v>14</v>
      </c>
    </row>
    <row r="14" spans="1:10">
      <c r="A14" s="3"/>
      <c r="B14" s="3"/>
      <c r="C14" s="3"/>
      <c r="D14" s="3"/>
      <c r="E14" s="3"/>
      <c r="F14" s="3"/>
      <c r="G14" s="3"/>
    </row>
    <row r="15" spans="1:10">
      <c r="A15" s="3"/>
      <c r="B15" s="3"/>
      <c r="C15" s="3"/>
      <c r="D15" s="3"/>
      <c r="E15" s="3"/>
      <c r="F15" s="3"/>
      <c r="G15" s="3"/>
    </row>
    <row r="16" spans="1:10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RM</vt:lpstr>
      <vt:lpstr>Pivot Monthly</vt:lpstr>
      <vt:lpstr>Pivot Quarterly</vt:lpstr>
      <vt:lpstr>Dashboard</vt:lpstr>
      <vt:lpstr>Drilldown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2026-08-30T03:38:09Z</dcterms:modified>
</cp:coreProperties>
</file>