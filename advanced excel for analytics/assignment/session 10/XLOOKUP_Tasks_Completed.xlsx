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7E0777D-4CE1-48FA-A0B4-74684DD577F3}" xr6:coauthVersionLast="36" xr6:coauthVersionMax="36" xr10:uidLastSave="{00000000-0000-0000-0000-000000000000}"/>
  <bookViews>
    <workbookView xWindow="0" yWindow="0" windowWidth="19200" windowHeight="6810" activeTab="4" xr2:uid="{00000000-000D-0000-FFFF-FFFF00000000}"/>
  </bookViews>
  <sheets>
    <sheet name="Task 1 - Flipkart" sheetId="1" r:id="rId1"/>
    <sheet name="Task 2 - Zomato" sheetId="2" r:id="rId2"/>
    <sheet name="Task 3 - Spotify" sheetId="3" r:id="rId3"/>
    <sheet name="Task 4 - IRCTC" sheetId="4" r:id="rId4"/>
    <sheet name="Task 5 - Myntra" sheetId="5" r:id="rId5"/>
  </sheets>
  <calcPr calcId="191029"/>
</workbook>
</file>

<file path=xl/calcChain.xml><?xml version="1.0" encoding="utf-8"?>
<calcChain xmlns="http://schemas.openxmlformats.org/spreadsheetml/2006/main">
  <c r="G6" i="5" l="1"/>
  <c r="G5" i="5"/>
  <c r="G4" i="5"/>
  <c r="G6" i="4"/>
  <c r="G5" i="4"/>
  <c r="G4" i="4"/>
  <c r="G6" i="3"/>
  <c r="G5" i="3"/>
  <c r="G4" i="3"/>
  <c r="G5" i="2"/>
  <c r="G4" i="2"/>
  <c r="G8" i="1"/>
  <c r="G7" i="1"/>
  <c r="G6" i="1"/>
  <c r="G5" i="1"/>
  <c r="G4" i="1"/>
</calcChain>
</file>

<file path=xl/sharedStrings.xml><?xml version="1.0" encoding="utf-8"?>
<sst xmlns="http://schemas.openxmlformats.org/spreadsheetml/2006/main" count="159" uniqueCount="131">
  <si>
    <t>Task 1 - Flipkart Products | XLOOKUP Product Name</t>
  </si>
  <si>
    <t>Product ID</t>
  </si>
  <si>
    <t>Product Name</t>
  </si>
  <si>
    <t>Category</t>
  </si>
  <si>
    <t>Price</t>
  </si>
  <si>
    <t>XLOOKUP Result</t>
  </si>
  <si>
    <t>FK001</t>
  </si>
  <si>
    <t>iPhone 15</t>
  </si>
  <si>
    <t>Mobile</t>
  </si>
  <si>
    <t>FK003</t>
  </si>
  <si>
    <t>FK002</t>
  </si>
  <si>
    <t>Samsung Galaxy S24</t>
  </si>
  <si>
    <t>FK007</t>
  </si>
  <si>
    <t>boAt Rockerz 450</t>
  </si>
  <si>
    <t>Headphones</t>
  </si>
  <si>
    <t>FK004</t>
  </si>
  <si>
    <t>HP 15s Laptop</t>
  </si>
  <si>
    <t>Laptop</t>
  </si>
  <si>
    <t>FK010</t>
  </si>
  <si>
    <t>FK005</t>
  </si>
  <si>
    <t>Nike Air Max</t>
  </si>
  <si>
    <t>Shoes</t>
  </si>
  <si>
    <t>FK006</t>
  </si>
  <si>
    <t>Mi LED TV 43</t>
  </si>
  <si>
    <t>Television</t>
  </si>
  <si>
    <t>Canon EOS 1500D</t>
  </si>
  <si>
    <t>Camera</t>
  </si>
  <si>
    <t>FK008</t>
  </si>
  <si>
    <t>Prestige Mixer Grinder</t>
  </si>
  <si>
    <t>Home Appliance</t>
  </si>
  <si>
    <t>FK009</t>
  </si>
  <si>
    <t>American Tourister Bag</t>
  </si>
  <si>
    <t>Luggage</t>
  </si>
  <si>
    <t>Kindle Paperwhite</t>
  </si>
  <si>
    <t>E-Reader</t>
  </si>
  <si>
    <t>Task 2 - Zomato Orders | XLOOKUP Last Match</t>
  </si>
  <si>
    <t>Order ID</t>
  </si>
  <si>
    <t>Restaurant Name</t>
  </si>
  <si>
    <t>Order Date</t>
  </si>
  <si>
    <t>Amount</t>
  </si>
  <si>
    <t>Search Restaurant</t>
  </si>
  <si>
    <t>Last Order Amount</t>
  </si>
  <si>
    <t>ZOM101</t>
  </si>
  <si>
    <t>Domino's Pizza</t>
  </si>
  <si>
    <t>ZOM102</t>
  </si>
  <si>
    <t>Burger King</t>
  </si>
  <si>
    <t>ZOM103</t>
  </si>
  <si>
    <t>ZOM104</t>
  </si>
  <si>
    <t>Haldiram's</t>
  </si>
  <si>
    <t>Method</t>
  </si>
  <si>
    <t>search_mode = -1 (bottom to top)</t>
  </si>
  <si>
    <t>ZOM105</t>
  </si>
  <si>
    <t>Expected</t>
  </si>
  <si>
    <t>Domino's Pizza → ₹599; Burger King → ₹449</t>
  </si>
  <si>
    <t>ZOM106</t>
  </si>
  <si>
    <t>ZOM107</t>
  </si>
  <si>
    <t>Task 3 - Spotify Playlists | XLOOKUP by Genre</t>
  </si>
  <si>
    <t>Playlist Name</t>
  </si>
  <si>
    <t>Genre</t>
  </si>
  <si>
    <t>Created By</t>
  </si>
  <si>
    <t>Number of Songs</t>
  </si>
  <si>
    <t>Search Genre</t>
  </si>
  <si>
    <t>Morning Acoustic</t>
  </si>
  <si>
    <t>Acoustic</t>
  </si>
  <si>
    <t>Aarav</t>
  </si>
  <si>
    <t>Rock</t>
  </si>
  <si>
    <t>Bollywood Beats</t>
  </si>
  <si>
    <t>Bollywood</t>
  </si>
  <si>
    <t>Meera</t>
  </si>
  <si>
    <t>Jazz</t>
  </si>
  <si>
    <t>Chill Vibes</t>
  </si>
  <si>
    <t>Lo-Fi</t>
  </si>
  <si>
    <t>Rohan</t>
  </si>
  <si>
    <t>Workout Energy</t>
  </si>
  <si>
    <t>Fitness</t>
  </si>
  <si>
    <t>Neha</t>
  </si>
  <si>
    <t>Rock Classics</t>
  </si>
  <si>
    <t>Kabir</t>
  </si>
  <si>
    <t>Jazz → No playlist available</t>
  </si>
  <si>
    <t>Focus Flow</t>
  </si>
  <si>
    <t>Instrumental</t>
  </si>
  <si>
    <t>Diya</t>
  </si>
  <si>
    <t>Task 4 - IRCTC Bookings | XLOOKUP Error Handling</t>
  </si>
  <si>
    <t>Booking ID</t>
  </si>
  <si>
    <t>Passenger Name</t>
  </si>
  <si>
    <t>Train Number</t>
  </si>
  <si>
    <t>Status</t>
  </si>
  <si>
    <t>Result</t>
  </si>
  <si>
    <t>IR1001</t>
  </si>
  <si>
    <t>Rahul Shah</t>
  </si>
  <si>
    <t>Confirmed</t>
  </si>
  <si>
    <t>IR9999</t>
  </si>
  <si>
    <t>IR1002</t>
  </si>
  <si>
    <t>Priya Patel</t>
  </si>
  <si>
    <t>RAC</t>
  </si>
  <si>
    <t>IR1003</t>
  </si>
  <si>
    <t>Amit Joshi</t>
  </si>
  <si>
    <t>Waiting</t>
  </si>
  <si>
    <t>IR1004</t>
  </si>
  <si>
    <t>Neha Mehta</t>
  </si>
  <si>
    <t>IR1005</t>
  </si>
  <si>
    <t>Vivek Desai</t>
  </si>
  <si>
    <t>Cancelled</t>
  </si>
  <si>
    <t>Formula Version</t>
  </si>
  <si>
    <t>Formula</t>
  </si>
  <si>
    <t>1 - Default error</t>
  </si>
  <si>
    <t>=XLOOKUP(F4,$A$4:$A$8,$D$4:$D$8)</t>
  </si>
  <si>
    <t>2 - Custom error text</t>
  </si>
  <si>
    <t>=XLOOKUP(F5,$A$4:$A$8,$D$4:$D$8,"Booking Not Found")</t>
  </si>
  <si>
    <t>Task Note</t>
  </si>
  <si>
    <t>G4 intentionally shows the default XLOOKUP error for wrong Booking ID.</t>
  </si>
  <si>
    <t>Fixed Result</t>
  </si>
  <si>
    <t>G5 shows Booking Not Found for the same wrong Booking ID.</t>
  </si>
  <si>
    <t>Task 5 - Myntra Orders | XLOOKUP Delivery Date</t>
  </si>
  <si>
    <t>Product</t>
  </si>
  <si>
    <t>Delivery Date</t>
  </si>
  <si>
    <t>MYN001</t>
  </si>
  <si>
    <t>Kurta Set</t>
  </si>
  <si>
    <t>MYN002</t>
  </si>
  <si>
    <t>Running Shoes</t>
  </si>
  <si>
    <t>MYN005</t>
  </si>
  <si>
    <t>MYN003</t>
  </si>
  <si>
    <t>Denim Jacket</t>
  </si>
  <si>
    <t>MYN999</t>
  </si>
  <si>
    <t>MYN004</t>
  </si>
  <si>
    <t>Handbag</t>
  </si>
  <si>
    <t>T-Shirt</t>
  </si>
  <si>
    <t>=XLOOKUP(F4,$A$4:$A$9,$D$4:$D$9,"Order Not Found")</t>
  </si>
  <si>
    <t>MYN006</t>
  </si>
  <si>
    <t>Sunglasses</t>
  </si>
  <si>
    <t>MYN002 → 07-08-2026; MYN005 → 10-08-2026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</si>
</sst>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dd\-mm\-yyyy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wrapText="1"/>
    </xf>
    <xf numFmtId="0" fontId="2" fillId="3" borderId="3" xfId="0" applyNumberFormat="1" applyFont="1" applyFill="1" applyBorder="1" applyAlignment="1">
      <alignment horizontal="center" vertical="center" wrapText="1"/>
    </xf>
    <xf numFmtId="49" fontId="0" fillId="0" borderId="4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0" fontId="0" fillId="0" borderId="5" xfId="0" applyNumberFormat="1" applyFont="1" applyFill="1" applyBorder="1" applyAlignment="1">
      <alignment wrapText="1"/>
    </xf>
    <xf numFmtId="0" fontId="0" fillId="0" borderId="4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164" fontId="0" fillId="0" borderId="5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 wrapText="1"/>
    </xf>
    <xf numFmtId="165" fontId="0" fillId="0" borderId="5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ipkartProducts" displayName="FlipkartProducts" ref="A3:D13" totalsRowShown="0">
  <tableColumns count="4">
    <tableColumn id="1" xr3:uid="{00000000-0010-0000-0000-000001000000}" name="Product ID"/>
    <tableColumn id="2" xr3:uid="{00000000-0010-0000-0000-000002000000}" name="Product Name"/>
    <tableColumn id="3" xr3:uid="{00000000-0010-0000-0000-000003000000}" name="Category"/>
    <tableColumn id="4" xr3:uid="{00000000-0010-0000-0000-000004000000}" name="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lipkartLookup" displayName="FlipkartLookup" ref="F3:G8" totalsRowShown="0">
  <tableColumns count="2">
    <tableColumn id="1" xr3:uid="{00000000-0010-0000-0100-000001000000}" name="Product ID"/>
    <tableColumn id="2" xr3:uid="{00000000-0010-0000-0100-000002000000}" name="XLOOKUP Resul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ZomatoOrders" displayName="ZomatoOrders" ref="A3:D10" totalsRowShown="0">
  <tableColumns count="4">
    <tableColumn id="1" xr3:uid="{00000000-0010-0000-0200-000001000000}" name="Order ID"/>
    <tableColumn id="2" xr3:uid="{00000000-0010-0000-0200-000002000000}" name="Restaurant Name"/>
    <tableColumn id="3" xr3:uid="{00000000-0010-0000-0200-000003000000}" name="Order Date"/>
    <tableColumn id="4" xr3:uid="{00000000-0010-0000-0200-000004000000}" name="Am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ZomatoLastOrder" displayName="ZomatoLastOrder" ref="F3:G5" totalsRowShown="0">
  <tableColumns count="2">
    <tableColumn id="1" xr3:uid="{00000000-0010-0000-0300-000001000000}" name="Search Restaurant"/>
    <tableColumn id="2" xr3:uid="{00000000-0010-0000-0300-000002000000}" name="Last Order Am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potifyPlaylists" displayName="SpotifyPlaylists" ref="A3:D9" totalsRowShown="0">
  <tableColumns count="4">
    <tableColumn id="1" xr3:uid="{00000000-0010-0000-0400-000001000000}" name="Playlist Name"/>
    <tableColumn id="2" xr3:uid="{00000000-0010-0000-0400-000002000000}" name="Genre"/>
    <tableColumn id="3" xr3:uid="{00000000-0010-0000-0400-000003000000}" name="Created By"/>
    <tableColumn id="4" xr3:uid="{00000000-0010-0000-0400-000004000000}" name="Number of Song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potifyLookup" displayName="SpotifyLookup" ref="F3:G6" totalsRowShown="0">
  <tableColumns count="2">
    <tableColumn id="1" xr3:uid="{00000000-0010-0000-0500-000001000000}" name="Search Genre"/>
    <tableColumn id="2" xr3:uid="{00000000-0010-0000-0500-000002000000}" name="Playlist Na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IRCTCBookings" displayName="IRCTCBookings" ref="A3:D8" totalsRowShown="0">
  <tableColumns count="4">
    <tableColumn id="1" xr3:uid="{00000000-0010-0000-0600-000001000000}" name="Booking ID"/>
    <tableColumn id="2" xr3:uid="{00000000-0010-0000-0600-000002000000}" name="Passenger Name"/>
    <tableColumn id="3" xr3:uid="{00000000-0010-0000-0600-000003000000}" name="Train Number"/>
    <tableColumn id="4" xr3:uid="{00000000-0010-0000-0600-000004000000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yntraOrders" displayName="MyntraOrders" ref="A3:D9" totalsRowShown="0">
  <tableColumns count="4">
    <tableColumn id="1" xr3:uid="{00000000-0010-0000-0700-000001000000}" name="Order ID"/>
    <tableColumn id="2" xr3:uid="{00000000-0010-0000-0700-000002000000}" name="Product"/>
    <tableColumn id="3" xr3:uid="{00000000-0010-0000-0700-000003000000}" name="Order Date"/>
    <tableColumn id="4" xr3:uid="{00000000-0010-0000-0700-000004000000}" name="Delivery D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MyntraLookup" displayName="MyntraLookup" ref="F3:G6" totalsRowShown="0">
  <tableColumns count="2">
    <tableColumn id="1" xr3:uid="{00000000-0010-0000-0800-000001000000}" name="Order ID"/>
    <tableColumn id="2" xr3:uid="{00000000-0010-0000-0800-000002000000}" name="Delivery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G6" sqref="G6"/>
    </sheetView>
  </sheetViews>
  <sheetFormatPr defaultRowHeight="14"/>
  <cols>
    <col min="1" max="1" width="16" customWidth="1"/>
    <col min="2" max="2" width="22" customWidth="1"/>
    <col min="3" max="3" width="18" customWidth="1"/>
    <col min="4" max="4" width="16" customWidth="1"/>
    <col min="5" max="5" width="14" customWidth="1"/>
    <col min="6" max="6" width="20" customWidth="1"/>
    <col min="7" max="7" width="28" customWidth="1"/>
    <col min="8" max="26" width="14" customWidth="1"/>
  </cols>
  <sheetData>
    <row r="1" spans="1:7" ht="17.399999999999999" customHeight="1">
      <c r="A1" s="19" t="s">
        <v>0</v>
      </c>
      <c r="B1" s="19"/>
      <c r="C1" s="19"/>
      <c r="D1" s="19"/>
      <c r="E1" s="19"/>
      <c r="F1" s="19"/>
    </row>
    <row r="3" spans="1:7">
      <c r="A3" s="1" t="s">
        <v>1</v>
      </c>
      <c r="B3" s="2" t="s">
        <v>2</v>
      </c>
      <c r="C3" s="2" t="s">
        <v>3</v>
      </c>
      <c r="D3" s="2" t="s">
        <v>4</v>
      </c>
      <c r="E3" s="3"/>
      <c r="F3" s="2" t="s">
        <v>1</v>
      </c>
      <c r="G3" s="4" t="s">
        <v>5</v>
      </c>
    </row>
    <row r="4" spans="1:7">
      <c r="A4" s="5" t="s">
        <v>6</v>
      </c>
      <c r="B4" s="6" t="s">
        <v>7</v>
      </c>
      <c r="C4" s="6" t="s">
        <v>8</v>
      </c>
      <c r="D4" s="7">
        <v>69999</v>
      </c>
      <c r="E4" s="6"/>
      <c r="F4" s="6" t="s">
        <v>9</v>
      </c>
      <c r="G4" s="8" t="e">
        <f ca="1">XLOOKUP(F4,$A$4:$A$13,$B$4:$B$13,"Product Not Found")</f>
        <v>#NAME?</v>
      </c>
    </row>
    <row r="5" spans="1:7">
      <c r="A5" s="5" t="s">
        <v>10</v>
      </c>
      <c r="B5" s="6" t="s">
        <v>11</v>
      </c>
      <c r="C5" s="6" t="s">
        <v>8</v>
      </c>
      <c r="D5" s="7">
        <v>74999</v>
      </c>
      <c r="E5" s="6"/>
      <c r="F5" s="6" t="s">
        <v>12</v>
      </c>
      <c r="G5" s="8" t="e">
        <f ca="1">XLOOKUP(F5,$A$4:$A$13,$B$4:$B$13,"Product Not Found")</f>
        <v>#NAME?</v>
      </c>
    </row>
    <row r="6" spans="1:7">
      <c r="A6" s="5" t="s">
        <v>9</v>
      </c>
      <c r="B6" s="6" t="s">
        <v>13</v>
      </c>
      <c r="C6" s="6" t="s">
        <v>14</v>
      </c>
      <c r="D6" s="7">
        <v>1499</v>
      </c>
      <c r="E6" s="6"/>
      <c r="F6" s="6" t="s">
        <v>6</v>
      </c>
      <c r="G6" s="8" t="e">
        <f ca="1">XLOOKUP(F6,$A$4:$A$13,$B$4:$B$13,"Product Not Found")</f>
        <v>#NAME?</v>
      </c>
    </row>
    <row r="7" spans="1:7">
      <c r="A7" s="5" t="s">
        <v>15</v>
      </c>
      <c r="B7" s="6" t="s">
        <v>16</v>
      </c>
      <c r="C7" s="6" t="s">
        <v>17</v>
      </c>
      <c r="D7" s="7">
        <v>55999</v>
      </c>
      <c r="E7" s="6"/>
      <c r="F7" s="6" t="s">
        <v>18</v>
      </c>
      <c r="G7" s="8" t="e">
        <f ca="1">XLOOKUP(F7,$A$4:$A$13,$B$4:$B$13,"Product Not Found")</f>
        <v>#NAME?</v>
      </c>
    </row>
    <row r="8" spans="1:7">
      <c r="A8" s="5" t="s">
        <v>19</v>
      </c>
      <c r="B8" s="6" t="s">
        <v>20</v>
      </c>
      <c r="C8" s="6" t="s">
        <v>21</v>
      </c>
      <c r="D8" s="7">
        <v>8999</v>
      </c>
      <c r="E8" s="6"/>
      <c r="F8" s="6" t="s">
        <v>19</v>
      </c>
      <c r="G8" s="8" t="e">
        <f ca="1">XLOOKUP(F8,$A$4:$A$13,$B$4:$B$13,"Product Not Found")</f>
        <v>#NAME?</v>
      </c>
    </row>
    <row r="9" spans="1:7">
      <c r="A9" s="5" t="s">
        <v>22</v>
      </c>
      <c r="B9" s="6" t="s">
        <v>23</v>
      </c>
      <c r="C9" s="6" t="s">
        <v>24</v>
      </c>
      <c r="D9" s="7">
        <v>32999</v>
      </c>
      <c r="E9" s="6"/>
      <c r="F9" s="6"/>
      <c r="G9" s="8"/>
    </row>
    <row r="10" spans="1:7">
      <c r="A10" s="5" t="s">
        <v>12</v>
      </c>
      <c r="B10" s="6" t="s">
        <v>25</v>
      </c>
      <c r="C10" s="6" t="s">
        <v>26</v>
      </c>
      <c r="D10" s="7">
        <v>42999</v>
      </c>
      <c r="E10" s="6"/>
      <c r="F10" s="6"/>
      <c r="G10" s="8"/>
    </row>
    <row r="11" spans="1:7">
      <c r="A11" s="5" t="s">
        <v>27</v>
      </c>
      <c r="B11" s="6" t="s">
        <v>28</v>
      </c>
      <c r="C11" s="6" t="s">
        <v>29</v>
      </c>
      <c r="D11" s="7">
        <v>3499</v>
      </c>
      <c r="E11" s="6"/>
      <c r="F11" s="6"/>
      <c r="G11" s="8"/>
    </row>
    <row r="12" spans="1:7">
      <c r="A12" s="5" t="s">
        <v>30</v>
      </c>
      <c r="B12" s="6" t="s">
        <v>31</v>
      </c>
      <c r="C12" s="6" t="s">
        <v>32</v>
      </c>
      <c r="D12" s="7">
        <v>2499</v>
      </c>
      <c r="E12" s="6"/>
      <c r="F12" s="6"/>
      <c r="G12" s="8"/>
    </row>
    <row r="13" spans="1:7">
      <c r="A13" s="5" t="s">
        <v>18</v>
      </c>
      <c r="B13" s="6" t="s">
        <v>33</v>
      </c>
      <c r="C13" s="6" t="s">
        <v>34</v>
      </c>
      <c r="D13" s="7">
        <v>13999</v>
      </c>
      <c r="E13" s="6"/>
      <c r="F13" s="6"/>
      <c r="G13" s="8"/>
    </row>
    <row r="14" spans="1:7">
      <c r="A14" s="9"/>
      <c r="B14" s="6"/>
      <c r="C14" s="6"/>
      <c r="D14" s="6"/>
      <c r="E14" s="6"/>
      <c r="F14" s="6"/>
      <c r="G14" s="8"/>
    </row>
    <row r="15" spans="1:7">
      <c r="A15" s="9"/>
      <c r="B15" s="6"/>
      <c r="C15" s="6"/>
      <c r="D15" s="6"/>
      <c r="E15" s="6"/>
      <c r="F15" s="6"/>
      <c r="G15" s="8"/>
    </row>
    <row r="16" spans="1:7">
      <c r="A16" s="9"/>
      <c r="B16" s="6"/>
      <c r="C16" s="6"/>
      <c r="D16" s="6"/>
      <c r="E16" s="6"/>
      <c r="F16" s="6"/>
      <c r="G16" s="8"/>
    </row>
    <row r="17" spans="1:7">
      <c r="A17" s="9"/>
      <c r="B17" s="6"/>
      <c r="C17" s="6"/>
      <c r="D17" s="6"/>
      <c r="E17" s="6"/>
      <c r="F17" s="6"/>
      <c r="G17" s="8"/>
    </row>
    <row r="18" spans="1:7">
      <c r="A18" s="9"/>
      <c r="B18" s="6"/>
      <c r="C18" s="6"/>
      <c r="D18" s="6"/>
      <c r="E18" s="6"/>
      <c r="F18" s="6"/>
      <c r="G18" s="8"/>
    </row>
    <row r="19" spans="1:7">
      <c r="A19" s="9"/>
      <c r="B19" s="6"/>
      <c r="C19" s="6"/>
      <c r="D19" s="6"/>
      <c r="E19" s="6"/>
      <c r="F19" s="6"/>
      <c r="G19" s="8"/>
    </row>
    <row r="20" spans="1:7">
      <c r="A20" s="10"/>
      <c r="B20" s="11"/>
      <c r="C20" s="11"/>
      <c r="D20" s="11"/>
      <c r="E20" s="11"/>
      <c r="F20" s="11"/>
      <c r="G20" s="12"/>
    </row>
  </sheetData>
  <mergeCells count="1">
    <mergeCell ref="A1:F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G8" sqref="G8"/>
    </sheetView>
  </sheetViews>
  <sheetFormatPr defaultRowHeight="14"/>
  <cols>
    <col min="1" max="1" width="16" customWidth="1"/>
    <col min="2" max="2" width="22" customWidth="1"/>
    <col min="3" max="3" width="18" customWidth="1"/>
    <col min="4" max="4" width="16" customWidth="1"/>
    <col min="5" max="5" width="14" customWidth="1"/>
    <col min="6" max="6" width="20" customWidth="1"/>
    <col min="7" max="7" width="28" customWidth="1"/>
    <col min="8" max="26" width="14" customWidth="1"/>
  </cols>
  <sheetData>
    <row r="1" spans="1:7" ht="17.399999999999999" customHeight="1">
      <c r="A1" s="19" t="s">
        <v>35</v>
      </c>
      <c r="B1" s="19"/>
      <c r="C1" s="19"/>
      <c r="D1" s="19"/>
      <c r="E1" s="19"/>
      <c r="F1" s="19"/>
    </row>
    <row r="3" spans="1:7">
      <c r="A3" s="1" t="s">
        <v>36</v>
      </c>
      <c r="B3" s="2" t="s">
        <v>37</v>
      </c>
      <c r="C3" s="2" t="s">
        <v>38</v>
      </c>
      <c r="D3" s="2" t="s">
        <v>39</v>
      </c>
      <c r="E3" s="3"/>
      <c r="F3" s="2" t="s">
        <v>40</v>
      </c>
      <c r="G3" s="4" t="s">
        <v>41</v>
      </c>
    </row>
    <row r="4" spans="1:7">
      <c r="A4" s="9" t="s">
        <v>42</v>
      </c>
      <c r="B4" s="6" t="s">
        <v>43</v>
      </c>
      <c r="C4" s="13">
        <v>46235</v>
      </c>
      <c r="D4" s="7">
        <v>499</v>
      </c>
      <c r="E4" s="6"/>
      <c r="F4" s="6" t="s">
        <v>43</v>
      </c>
      <c r="G4" s="14" t="e">
        <f ca="1">XLOOKUP(F4,$B$4:$B$10,$D$4:$D$10,"Restaurant Not Found",0,-1)</f>
        <v>#NAME?</v>
      </c>
    </row>
    <row r="5" spans="1:7">
      <c r="A5" s="9" t="s">
        <v>44</v>
      </c>
      <c r="B5" s="6" t="s">
        <v>45</v>
      </c>
      <c r="C5" s="13">
        <v>46236</v>
      </c>
      <c r="D5" s="7">
        <v>329</v>
      </c>
      <c r="E5" s="6"/>
      <c r="F5" s="6" t="s">
        <v>45</v>
      </c>
      <c r="G5" s="14" t="e">
        <f ca="1">XLOOKUP(F5,$B$4:$B$10,$D$4:$D$10,"Restaurant Not Found",0,-1)</f>
        <v>#NAME?</v>
      </c>
    </row>
    <row r="6" spans="1:7">
      <c r="A6" s="9" t="s">
        <v>46</v>
      </c>
      <c r="B6" s="6" t="s">
        <v>43</v>
      </c>
      <c r="C6" s="13">
        <v>46237</v>
      </c>
      <c r="D6" s="7">
        <v>699</v>
      </c>
      <c r="E6" s="6"/>
      <c r="F6" s="6"/>
      <c r="G6" s="8"/>
    </row>
    <row r="7" spans="1:7" ht="28">
      <c r="A7" s="9" t="s">
        <v>47</v>
      </c>
      <c r="B7" s="6" t="s">
        <v>48</v>
      </c>
      <c r="C7" s="13">
        <v>46238</v>
      </c>
      <c r="D7" s="7">
        <v>540</v>
      </c>
      <c r="E7" s="6"/>
      <c r="F7" s="18" t="s">
        <v>49</v>
      </c>
      <c r="G7" s="8" t="s">
        <v>50</v>
      </c>
    </row>
    <row r="8" spans="1:7" ht="28">
      <c r="A8" s="9" t="s">
        <v>51</v>
      </c>
      <c r="B8" s="6" t="s">
        <v>43</v>
      </c>
      <c r="C8" s="13">
        <v>46239</v>
      </c>
      <c r="D8" s="7">
        <v>799</v>
      </c>
      <c r="E8" s="6"/>
      <c r="F8" s="18" t="s">
        <v>52</v>
      </c>
      <c r="G8" s="8" t="s">
        <v>53</v>
      </c>
    </row>
    <row r="9" spans="1:7">
      <c r="A9" s="9" t="s">
        <v>54</v>
      </c>
      <c r="B9" s="6" t="s">
        <v>45</v>
      </c>
      <c r="C9" s="13">
        <v>46240</v>
      </c>
      <c r="D9" s="7">
        <v>449</v>
      </c>
      <c r="E9" s="6"/>
      <c r="F9" s="18"/>
      <c r="G9" s="8"/>
    </row>
    <row r="10" spans="1:7">
      <c r="A10" s="9" t="s">
        <v>55</v>
      </c>
      <c r="B10" s="6" t="s">
        <v>43</v>
      </c>
      <c r="C10" s="13">
        <v>46241</v>
      </c>
      <c r="D10" s="7">
        <v>599</v>
      </c>
      <c r="E10" s="6"/>
      <c r="F10" s="18"/>
      <c r="G10" s="8"/>
    </row>
    <row r="11" spans="1:7">
      <c r="A11" s="9"/>
      <c r="B11" s="6"/>
      <c r="C11" s="6"/>
      <c r="D11" s="6"/>
      <c r="E11" s="6"/>
      <c r="F11" s="18"/>
      <c r="G11" s="8"/>
    </row>
    <row r="12" spans="1:7">
      <c r="A12" s="9"/>
      <c r="B12" s="6"/>
      <c r="C12" s="6"/>
      <c r="D12" s="6"/>
      <c r="E12" s="6"/>
      <c r="F12" s="18"/>
      <c r="G12" s="8"/>
    </row>
    <row r="13" spans="1:7">
      <c r="A13" s="9"/>
      <c r="B13" s="6"/>
      <c r="C13" s="6"/>
      <c r="D13" s="6"/>
      <c r="E13" s="6"/>
      <c r="F13" s="18"/>
      <c r="G13" s="8"/>
    </row>
    <row r="14" spans="1:7">
      <c r="A14" s="9"/>
      <c r="B14" s="6"/>
      <c r="C14" s="6"/>
      <c r="D14" s="6"/>
      <c r="E14" s="6"/>
      <c r="F14" s="18"/>
      <c r="G14" s="8"/>
    </row>
    <row r="15" spans="1:7">
      <c r="A15" s="9"/>
      <c r="B15" s="6"/>
      <c r="C15" s="6"/>
      <c r="D15" s="6"/>
      <c r="E15" s="6"/>
      <c r="F15" s="18"/>
      <c r="G15" s="8"/>
    </row>
    <row r="16" spans="1:7">
      <c r="A16" s="9"/>
      <c r="B16" s="6"/>
      <c r="C16" s="6"/>
      <c r="D16" s="6"/>
      <c r="E16" s="6"/>
      <c r="F16" s="6"/>
      <c r="G16" s="8"/>
    </row>
    <row r="17" spans="1:7">
      <c r="A17" s="9"/>
      <c r="B17" s="6"/>
      <c r="C17" s="6"/>
      <c r="D17" s="6"/>
      <c r="E17" s="6"/>
      <c r="F17" s="6"/>
      <c r="G17" s="8"/>
    </row>
    <row r="18" spans="1:7">
      <c r="A18" s="9"/>
      <c r="B18" s="6"/>
      <c r="C18" s="6"/>
      <c r="D18" s="6"/>
      <c r="E18" s="6"/>
      <c r="F18" s="6"/>
      <c r="G18" s="8"/>
    </row>
    <row r="19" spans="1:7">
      <c r="A19" s="9"/>
      <c r="B19" s="6"/>
      <c r="C19" s="6"/>
      <c r="D19" s="6"/>
      <c r="E19" s="6"/>
      <c r="F19" s="6"/>
      <c r="G19" s="8"/>
    </row>
    <row r="20" spans="1:7">
      <c r="A20" s="10"/>
      <c r="B20" s="11"/>
      <c r="C20" s="11"/>
      <c r="D20" s="11"/>
      <c r="E20" s="11"/>
      <c r="F20" s="11"/>
      <c r="G20" s="12"/>
    </row>
  </sheetData>
  <mergeCells count="1">
    <mergeCell ref="A1:F1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workbookViewId="0">
      <selection activeCell="G8" sqref="G8"/>
    </sheetView>
  </sheetViews>
  <sheetFormatPr defaultRowHeight="14"/>
  <cols>
    <col min="1" max="1" width="16" customWidth="1"/>
    <col min="2" max="2" width="22" customWidth="1"/>
    <col min="3" max="3" width="18" customWidth="1"/>
    <col min="4" max="4" width="16" customWidth="1"/>
    <col min="5" max="5" width="14" customWidth="1"/>
    <col min="6" max="6" width="20" customWidth="1"/>
    <col min="7" max="7" width="28" customWidth="1"/>
    <col min="8" max="26" width="14" customWidth="1"/>
  </cols>
  <sheetData>
    <row r="1" spans="1:7" ht="17.399999999999999" customHeight="1">
      <c r="A1" s="19" t="s">
        <v>56</v>
      </c>
      <c r="B1" s="19"/>
      <c r="C1" s="19"/>
      <c r="D1" s="19"/>
      <c r="E1" s="19"/>
      <c r="F1" s="19"/>
    </row>
    <row r="3" spans="1:7">
      <c r="A3" s="1" t="s">
        <v>57</v>
      </c>
      <c r="B3" s="2" t="s">
        <v>58</v>
      </c>
      <c r="C3" s="2" t="s">
        <v>59</v>
      </c>
      <c r="D3" s="2" t="s">
        <v>60</v>
      </c>
      <c r="E3" s="3"/>
      <c r="F3" s="2" t="s">
        <v>61</v>
      </c>
      <c r="G3" s="4" t="s">
        <v>57</v>
      </c>
    </row>
    <row r="4" spans="1:7">
      <c r="A4" s="9" t="s">
        <v>62</v>
      </c>
      <c r="B4" s="6" t="s">
        <v>63</v>
      </c>
      <c r="C4" s="6" t="s">
        <v>64</v>
      </c>
      <c r="D4" s="6">
        <v>35</v>
      </c>
      <c r="E4" s="6"/>
      <c r="F4" s="6" t="s">
        <v>65</v>
      </c>
      <c r="G4" s="8" t="e">
        <f ca="1">XLOOKUP(F4,$B$4:$B$9,$A$4:$A$9,"No playlist available")</f>
        <v>#NAME?</v>
      </c>
    </row>
    <row r="5" spans="1:7">
      <c r="A5" s="9" t="s">
        <v>66</v>
      </c>
      <c r="B5" s="6" t="s">
        <v>67</v>
      </c>
      <c r="C5" s="6" t="s">
        <v>68</v>
      </c>
      <c r="D5" s="6">
        <v>50</v>
      </c>
      <c r="E5" s="6"/>
      <c r="F5" s="6" t="s">
        <v>69</v>
      </c>
      <c r="G5" s="8" t="e">
        <f ca="1">XLOOKUP(F5,$B$4:$B$9,$A$4:$A$9,"No playlist available")</f>
        <v>#NAME?</v>
      </c>
    </row>
    <row r="6" spans="1:7">
      <c r="A6" s="9" t="s">
        <v>70</v>
      </c>
      <c r="B6" s="6" t="s">
        <v>71</v>
      </c>
      <c r="C6" s="6" t="s">
        <v>72</v>
      </c>
      <c r="D6" s="6">
        <v>42</v>
      </c>
      <c r="E6" s="6"/>
      <c r="F6" s="6" t="s">
        <v>67</v>
      </c>
      <c r="G6" s="8" t="e">
        <f ca="1">XLOOKUP(F6,$B$4:$B$9,$A$4:$A$9,"No playlist available")</f>
        <v>#NAME?</v>
      </c>
    </row>
    <row r="7" spans="1:7">
      <c r="A7" s="9" t="s">
        <v>73</v>
      </c>
      <c r="B7" s="6" t="s">
        <v>74</v>
      </c>
      <c r="C7" s="6" t="s">
        <v>75</v>
      </c>
      <c r="D7" s="6">
        <v>60</v>
      </c>
      <c r="E7" s="6"/>
      <c r="F7" s="18"/>
      <c r="G7" s="8"/>
    </row>
    <row r="8" spans="1:7">
      <c r="A8" s="9" t="s">
        <v>76</v>
      </c>
      <c r="B8" s="6" t="s">
        <v>65</v>
      </c>
      <c r="C8" s="6" t="s">
        <v>77</v>
      </c>
      <c r="D8" s="6">
        <v>48</v>
      </c>
      <c r="E8" s="6"/>
      <c r="F8" s="18" t="s">
        <v>52</v>
      </c>
      <c r="G8" s="8" t="s">
        <v>78</v>
      </c>
    </row>
    <row r="9" spans="1:7">
      <c r="A9" s="9" t="s">
        <v>79</v>
      </c>
      <c r="B9" s="6" t="s">
        <v>80</v>
      </c>
      <c r="C9" s="6" t="s">
        <v>81</v>
      </c>
      <c r="D9" s="6">
        <v>30</v>
      </c>
      <c r="E9" s="6"/>
      <c r="F9" s="18"/>
      <c r="G9" s="8"/>
    </row>
    <row r="10" spans="1:7">
      <c r="A10" s="9"/>
      <c r="B10" s="6"/>
      <c r="C10" s="6"/>
      <c r="D10" s="6"/>
      <c r="E10" s="6"/>
      <c r="F10" s="18"/>
      <c r="G10" s="8"/>
    </row>
    <row r="11" spans="1:7">
      <c r="A11" s="9"/>
      <c r="B11" s="6"/>
      <c r="C11" s="6"/>
      <c r="D11" s="6"/>
      <c r="E11" s="6"/>
      <c r="F11" s="18"/>
      <c r="G11" s="8"/>
    </row>
    <row r="12" spans="1:7">
      <c r="A12" s="9"/>
      <c r="B12" s="6"/>
      <c r="C12" s="6"/>
      <c r="D12" s="6"/>
      <c r="E12" s="6"/>
      <c r="F12" s="18"/>
      <c r="G12" s="8"/>
    </row>
    <row r="13" spans="1:7">
      <c r="A13" s="9"/>
      <c r="B13" s="6"/>
      <c r="C13" s="6"/>
      <c r="D13" s="6"/>
      <c r="E13" s="6"/>
      <c r="F13" s="18"/>
      <c r="G13" s="8"/>
    </row>
    <row r="14" spans="1:7">
      <c r="A14" s="9"/>
      <c r="B14" s="6"/>
      <c r="C14" s="6"/>
      <c r="D14" s="6"/>
      <c r="E14" s="6"/>
      <c r="F14" s="18"/>
      <c r="G14" s="8"/>
    </row>
    <row r="15" spans="1:7">
      <c r="A15" s="9"/>
      <c r="B15" s="6"/>
      <c r="C15" s="6"/>
      <c r="D15" s="6"/>
      <c r="E15" s="6"/>
      <c r="F15" s="18"/>
      <c r="G15" s="8"/>
    </row>
    <row r="16" spans="1:7">
      <c r="A16" s="9"/>
      <c r="B16" s="6"/>
      <c r="C16" s="6"/>
      <c r="D16" s="6"/>
      <c r="E16" s="6"/>
      <c r="F16" s="6"/>
      <c r="G16" s="8"/>
    </row>
    <row r="17" spans="1:7">
      <c r="A17" s="9"/>
      <c r="B17" s="6"/>
      <c r="C17" s="6"/>
      <c r="D17" s="6"/>
      <c r="E17" s="6"/>
      <c r="F17" s="6"/>
      <c r="G17" s="8"/>
    </row>
    <row r="18" spans="1:7">
      <c r="A18" s="9"/>
      <c r="B18" s="6"/>
      <c r="C18" s="6"/>
      <c r="D18" s="6"/>
      <c r="E18" s="6"/>
      <c r="F18" s="6"/>
      <c r="G18" s="8"/>
    </row>
    <row r="19" spans="1:7">
      <c r="A19" s="9"/>
      <c r="B19" s="6"/>
      <c r="C19" s="6"/>
      <c r="D19" s="6"/>
      <c r="E19" s="6"/>
      <c r="F19" s="6"/>
      <c r="G19" s="8"/>
    </row>
    <row r="20" spans="1:7">
      <c r="A20" s="10"/>
      <c r="B20" s="11"/>
      <c r="C20" s="11"/>
      <c r="D20" s="11"/>
      <c r="E20" s="11"/>
      <c r="F20" s="11"/>
      <c r="G20" s="12"/>
    </row>
  </sheetData>
  <mergeCells count="1">
    <mergeCell ref="A1:F1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>
      <selection activeCell="G11" sqref="G11"/>
    </sheetView>
  </sheetViews>
  <sheetFormatPr defaultRowHeight="14"/>
  <cols>
    <col min="1" max="1" width="16" customWidth="1"/>
    <col min="2" max="2" width="22" customWidth="1"/>
    <col min="3" max="3" width="18" customWidth="1"/>
    <col min="4" max="4" width="16" customWidth="1"/>
    <col min="5" max="5" width="14" customWidth="1"/>
    <col min="6" max="6" width="20" customWidth="1"/>
    <col min="7" max="7" width="28" customWidth="1"/>
    <col min="8" max="26" width="14" customWidth="1"/>
  </cols>
  <sheetData>
    <row r="1" spans="1:7" ht="17.399999999999999" customHeight="1">
      <c r="A1" s="19" t="s">
        <v>82</v>
      </c>
      <c r="B1" s="19"/>
      <c r="C1" s="19"/>
      <c r="D1" s="19"/>
      <c r="E1" s="19"/>
      <c r="F1" s="19"/>
      <c r="G1" s="19"/>
    </row>
    <row r="3" spans="1:7">
      <c r="A3" s="1" t="s">
        <v>83</v>
      </c>
      <c r="B3" s="2" t="s">
        <v>84</v>
      </c>
      <c r="C3" s="2" t="s">
        <v>85</v>
      </c>
      <c r="D3" s="2" t="s">
        <v>86</v>
      </c>
      <c r="E3" s="3"/>
      <c r="F3" s="2" t="s">
        <v>83</v>
      </c>
      <c r="G3" s="4" t="s">
        <v>87</v>
      </c>
    </row>
    <row r="4" spans="1:7">
      <c r="A4" s="9" t="s">
        <v>88</v>
      </c>
      <c r="B4" s="6" t="s">
        <v>89</v>
      </c>
      <c r="C4" s="6">
        <v>12901</v>
      </c>
      <c r="D4" s="6" t="s">
        <v>90</v>
      </c>
      <c r="E4" s="6"/>
      <c r="F4" s="6" t="s">
        <v>91</v>
      </c>
      <c r="G4" s="8" t="e">
        <f ca="1">XLOOKUP(F4,$A$4:$A$8,$D$4:$D$8)</f>
        <v>#NAME?</v>
      </c>
    </row>
    <row r="5" spans="1:7">
      <c r="A5" s="9" t="s">
        <v>92</v>
      </c>
      <c r="B5" s="6" t="s">
        <v>93</v>
      </c>
      <c r="C5" s="6">
        <v>12902</v>
      </c>
      <c r="D5" s="6" t="s">
        <v>94</v>
      </c>
      <c r="E5" s="6"/>
      <c r="F5" s="6" t="s">
        <v>91</v>
      </c>
      <c r="G5" s="8" t="e">
        <f ca="1">XLOOKUP(F5,$A$4:$A$8,$D$4:$D$8,"Booking Not Found")</f>
        <v>#NAME?</v>
      </c>
    </row>
    <row r="6" spans="1:7">
      <c r="A6" s="9" t="s">
        <v>95</v>
      </c>
      <c r="B6" s="6" t="s">
        <v>96</v>
      </c>
      <c r="C6" s="6">
        <v>12903</v>
      </c>
      <c r="D6" s="6" t="s">
        <v>97</v>
      </c>
      <c r="E6" s="6"/>
      <c r="F6" s="6" t="s">
        <v>95</v>
      </c>
      <c r="G6" s="8" t="e">
        <f ca="1">XLOOKUP(F6,$A$4:$A$8,$D$4:$D$8,"Booking Not Found")</f>
        <v>#NAME?</v>
      </c>
    </row>
    <row r="7" spans="1:7">
      <c r="A7" s="9" t="s">
        <v>98</v>
      </c>
      <c r="B7" s="6" t="s">
        <v>99</v>
      </c>
      <c r="C7" s="6">
        <v>12904</v>
      </c>
      <c r="D7" s="6" t="s">
        <v>90</v>
      </c>
      <c r="E7" s="6"/>
      <c r="F7" s="18"/>
      <c r="G7" s="8"/>
    </row>
    <row r="8" spans="1:7">
      <c r="A8" s="9" t="s">
        <v>100</v>
      </c>
      <c r="B8" s="6" t="s">
        <v>101</v>
      </c>
      <c r="C8" s="6">
        <v>12905</v>
      </c>
      <c r="D8" s="6" t="s">
        <v>102</v>
      </c>
      <c r="E8" s="6"/>
      <c r="F8" s="18"/>
      <c r="G8" s="8"/>
    </row>
    <row r="9" spans="1:7">
      <c r="A9" s="9"/>
      <c r="B9" s="6"/>
      <c r="C9" s="6"/>
      <c r="D9" s="6"/>
      <c r="E9" s="6"/>
      <c r="F9" s="15" t="s">
        <v>103</v>
      </c>
      <c r="G9" s="16" t="s">
        <v>104</v>
      </c>
    </row>
    <row r="10" spans="1:7" ht="28">
      <c r="A10" s="9"/>
      <c r="B10" s="6"/>
      <c r="C10" s="6"/>
      <c r="D10" s="6"/>
      <c r="E10" s="6"/>
      <c r="F10" s="18" t="s">
        <v>105</v>
      </c>
      <c r="G10" s="8" t="s">
        <v>106</v>
      </c>
    </row>
    <row r="11" spans="1:7" ht="28">
      <c r="A11" s="9"/>
      <c r="B11" s="6"/>
      <c r="C11" s="6"/>
      <c r="D11" s="6"/>
      <c r="E11" s="6"/>
      <c r="F11" s="18" t="s">
        <v>107</v>
      </c>
      <c r="G11" s="8" t="s">
        <v>108</v>
      </c>
    </row>
    <row r="12" spans="1:7">
      <c r="A12" s="9"/>
      <c r="B12" s="6"/>
      <c r="C12" s="6"/>
      <c r="D12" s="6"/>
      <c r="E12" s="6"/>
      <c r="F12" s="18"/>
      <c r="G12" s="8"/>
    </row>
    <row r="13" spans="1:7" ht="42">
      <c r="A13" s="9"/>
      <c r="B13" s="6"/>
      <c r="C13" s="6"/>
      <c r="D13" s="6"/>
      <c r="E13" s="6"/>
      <c r="F13" s="18" t="s">
        <v>109</v>
      </c>
      <c r="G13" s="8" t="s">
        <v>110</v>
      </c>
    </row>
    <row r="14" spans="1:7" ht="28">
      <c r="A14" s="9"/>
      <c r="B14" s="6"/>
      <c r="C14" s="6"/>
      <c r="D14" s="6"/>
      <c r="E14" s="6"/>
      <c r="F14" s="18" t="s">
        <v>111</v>
      </c>
      <c r="G14" s="8" t="s">
        <v>112</v>
      </c>
    </row>
    <row r="15" spans="1:7">
      <c r="A15" s="9"/>
      <c r="B15" s="6"/>
      <c r="C15" s="6"/>
      <c r="D15" s="6"/>
      <c r="E15" s="6"/>
      <c r="F15" s="18"/>
      <c r="G15" s="8"/>
    </row>
    <row r="16" spans="1:7">
      <c r="A16" s="9"/>
      <c r="B16" s="6"/>
      <c r="C16" s="6"/>
      <c r="D16" s="6"/>
      <c r="E16" s="6"/>
      <c r="F16" s="6"/>
      <c r="G16" s="8"/>
    </row>
    <row r="17" spans="1:7">
      <c r="A17" s="9"/>
      <c r="B17" s="6"/>
      <c r="C17" s="6"/>
      <c r="D17" s="6"/>
      <c r="E17" s="6"/>
      <c r="F17" s="6"/>
      <c r="G17" s="8"/>
    </row>
    <row r="18" spans="1:7">
      <c r="A18" s="9"/>
      <c r="B18" s="6"/>
      <c r="C18" s="6"/>
      <c r="D18" s="6"/>
      <c r="E18" s="6"/>
      <c r="F18" s="6"/>
      <c r="G18" s="8"/>
    </row>
    <row r="19" spans="1:7">
      <c r="A19" s="9"/>
      <c r="B19" s="6"/>
      <c r="C19" s="6"/>
      <c r="D19" s="6"/>
      <c r="E19" s="6"/>
      <c r="F19" s="6"/>
      <c r="G19" s="8"/>
    </row>
    <row r="20" spans="1:7">
      <c r="A20" s="10"/>
      <c r="B20" s="11"/>
      <c r="C20" s="11"/>
      <c r="D20" s="11"/>
      <c r="E20" s="11"/>
      <c r="F20" s="11"/>
      <c r="G20" s="12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tabSelected="1" workbookViewId="0">
      <selection activeCell="E18" sqref="E18"/>
    </sheetView>
  </sheetViews>
  <sheetFormatPr defaultRowHeight="14"/>
  <cols>
    <col min="1" max="1" width="16" customWidth="1"/>
    <col min="2" max="2" width="22" customWidth="1"/>
    <col min="3" max="3" width="18" customWidth="1"/>
    <col min="4" max="4" width="16" customWidth="1"/>
    <col min="5" max="5" width="14" customWidth="1"/>
    <col min="6" max="6" width="20" customWidth="1"/>
    <col min="7" max="7" width="28" customWidth="1"/>
    <col min="8" max="26" width="14" customWidth="1"/>
  </cols>
  <sheetData>
    <row r="1" spans="1:7" ht="17.399999999999999" customHeight="1">
      <c r="A1" s="19" t="s">
        <v>113</v>
      </c>
      <c r="B1" s="19"/>
      <c r="C1" s="19"/>
      <c r="D1" s="19"/>
      <c r="E1" s="19"/>
      <c r="F1" s="19"/>
    </row>
    <row r="3" spans="1:7">
      <c r="A3" s="1" t="s">
        <v>36</v>
      </c>
      <c r="B3" s="2" t="s">
        <v>114</v>
      </c>
      <c r="C3" s="2" t="s">
        <v>38</v>
      </c>
      <c r="D3" s="2" t="s">
        <v>115</v>
      </c>
      <c r="E3" s="3"/>
      <c r="F3" s="2" t="s">
        <v>36</v>
      </c>
      <c r="G3" s="4" t="s">
        <v>115</v>
      </c>
    </row>
    <row r="4" spans="1:7">
      <c r="A4" s="9" t="s">
        <v>116</v>
      </c>
      <c r="B4" s="6" t="s">
        <v>117</v>
      </c>
      <c r="C4" s="13">
        <v>46235</v>
      </c>
      <c r="D4" s="13">
        <v>46239</v>
      </c>
      <c r="E4" s="6"/>
      <c r="F4" s="6" t="s">
        <v>118</v>
      </c>
      <c r="G4" s="17" t="e">
        <f ca="1">XLOOKUP(F4,$A$4:$A$9,$D$4:$D$9,"Order Not Found")</f>
        <v>#NAME?</v>
      </c>
    </row>
    <row r="5" spans="1:7">
      <c r="A5" s="9" t="s">
        <v>118</v>
      </c>
      <c r="B5" s="6" t="s">
        <v>119</v>
      </c>
      <c r="C5" s="13">
        <v>46236</v>
      </c>
      <c r="D5" s="13">
        <v>46241</v>
      </c>
      <c r="E5" s="6"/>
      <c r="F5" s="6" t="s">
        <v>120</v>
      </c>
      <c r="G5" s="17" t="e">
        <f ca="1">XLOOKUP(F5,$A$4:$A$9,$D$4:$D$9,"Order Not Found")</f>
        <v>#NAME?</v>
      </c>
    </row>
    <row r="6" spans="1:7">
      <c r="A6" s="9" t="s">
        <v>121</v>
      </c>
      <c r="B6" s="6" t="s">
        <v>122</v>
      </c>
      <c r="C6" s="13">
        <v>46237</v>
      </c>
      <c r="D6" s="13">
        <v>46242</v>
      </c>
      <c r="E6" s="6"/>
      <c r="F6" s="6" t="s">
        <v>123</v>
      </c>
      <c r="G6" s="17" t="e">
        <f ca="1">XLOOKUP(F6,$A$4:$A$9,$D$4:$D$9,"Order Not Found")</f>
        <v>#NAME?</v>
      </c>
    </row>
    <row r="7" spans="1:7">
      <c r="A7" s="9" t="s">
        <v>124</v>
      </c>
      <c r="B7" s="6" t="s">
        <v>125</v>
      </c>
      <c r="C7" s="13">
        <v>46238</v>
      </c>
      <c r="D7" s="13">
        <v>46243</v>
      </c>
      <c r="E7" s="6"/>
      <c r="F7" s="18"/>
      <c r="G7" s="8"/>
    </row>
    <row r="8" spans="1:7" ht="28">
      <c r="A8" s="9" t="s">
        <v>120</v>
      </c>
      <c r="B8" s="6" t="s">
        <v>126</v>
      </c>
      <c r="C8" s="13">
        <v>46239</v>
      </c>
      <c r="D8" s="13">
        <v>46244</v>
      </c>
      <c r="E8" s="6"/>
      <c r="F8" s="18"/>
      <c r="G8" s="8" t="s">
        <v>127</v>
      </c>
    </row>
    <row r="9" spans="1:7" ht="28">
      <c r="A9" s="9" t="s">
        <v>128</v>
      </c>
      <c r="B9" s="6" t="s">
        <v>129</v>
      </c>
      <c r="C9" s="13">
        <v>46240</v>
      </c>
      <c r="D9" s="13">
        <v>46245</v>
      </c>
      <c r="E9" s="6"/>
      <c r="F9" s="18" t="s">
        <v>52</v>
      </c>
      <c r="G9" s="8" t="s">
        <v>130</v>
      </c>
    </row>
    <row r="10" spans="1:7">
      <c r="A10" s="9"/>
      <c r="B10" s="6"/>
      <c r="C10" s="6"/>
      <c r="D10" s="6"/>
      <c r="E10" s="6"/>
      <c r="F10" s="18"/>
      <c r="G10" s="8"/>
    </row>
    <row r="11" spans="1:7">
      <c r="A11" s="9"/>
      <c r="B11" s="6"/>
      <c r="C11" s="6"/>
      <c r="D11" s="6"/>
      <c r="E11" s="6"/>
      <c r="F11" s="18"/>
      <c r="G11" s="8"/>
    </row>
    <row r="12" spans="1:7">
      <c r="A12" s="9"/>
      <c r="B12" s="6"/>
      <c r="C12" s="6"/>
      <c r="D12" s="6"/>
      <c r="E12" s="6"/>
      <c r="F12" s="18"/>
      <c r="G12" s="8"/>
    </row>
    <row r="13" spans="1:7">
      <c r="A13" s="9"/>
      <c r="B13" s="6"/>
      <c r="C13" s="6"/>
      <c r="D13" s="6"/>
      <c r="E13" s="6"/>
      <c r="F13" s="18"/>
      <c r="G13" s="8"/>
    </row>
    <row r="14" spans="1:7">
      <c r="A14" s="9"/>
      <c r="B14" s="6"/>
      <c r="C14" s="6"/>
      <c r="D14" s="6"/>
      <c r="E14" s="6"/>
      <c r="F14" s="18"/>
      <c r="G14" s="8"/>
    </row>
    <row r="15" spans="1:7">
      <c r="A15" s="9"/>
      <c r="B15" s="6"/>
      <c r="C15" s="6"/>
      <c r="D15" s="6"/>
      <c r="E15" s="6"/>
      <c r="F15" s="18"/>
      <c r="G15" s="8"/>
    </row>
    <row r="16" spans="1:7">
      <c r="A16" s="9"/>
      <c r="B16" s="6"/>
      <c r="C16" s="6"/>
      <c r="D16" s="6"/>
      <c r="E16" s="6"/>
      <c r="F16" s="6"/>
      <c r="G16" s="8"/>
    </row>
    <row r="17" spans="1:7">
      <c r="A17" s="9"/>
      <c r="B17" s="6"/>
      <c r="C17" s="6"/>
      <c r="D17" s="6"/>
      <c r="E17" s="6"/>
      <c r="F17" s="6"/>
      <c r="G17" s="8"/>
    </row>
    <row r="18" spans="1:7">
      <c r="A18" s="9"/>
      <c r="B18" s="6"/>
      <c r="C18" s="6"/>
      <c r="D18" s="6"/>
      <c r="E18" s="6"/>
      <c r="F18" s="6"/>
      <c r="G18" s="8"/>
    </row>
    <row r="19" spans="1:7">
      <c r="A19" s="9"/>
      <c r="B19" s="6"/>
      <c r="C19" s="6"/>
      <c r="D19" s="6"/>
      <c r="E19" s="6"/>
      <c r="F19" s="6"/>
      <c r="G19" s="8"/>
    </row>
    <row r="20" spans="1:7">
      <c r="A20" s="10"/>
      <c r="B20" s="11"/>
      <c r="C20" s="11"/>
      <c r="D20" s="11"/>
      <c r="E20" s="11"/>
      <c r="F20" s="11"/>
      <c r="G20" s="12"/>
    </row>
  </sheetData>
  <mergeCells count="1">
    <mergeCell ref="A1:F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1 - Flipkart</vt:lpstr>
      <vt:lpstr>Task 2 - Zomato</vt:lpstr>
      <vt:lpstr>Task 3 - Spotify</vt:lpstr>
      <vt:lpstr>Task 4 - IRCTC</vt:lpstr>
      <vt:lpstr>Task 5 - Myntra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2026-08-16T07:03:27Z</dcterms:modified>
</cp:coreProperties>
</file>