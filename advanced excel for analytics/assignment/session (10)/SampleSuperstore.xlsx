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E98523-A8A7-4E06-84DF-B0202625E4D1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RM" sheetId="1" r:id="rId1"/>
    <sheet name="Data Cleaning" sheetId="2" r:id="rId2"/>
    <sheet name="Region Pivot" sheetId="3" r:id="rId3"/>
    <sheet name="Dashboard" sheetId="4" r:id="rId4"/>
    <sheet name="Top 5 Sub-Cats" sheetId="5" r:id="rId5"/>
    <sheet name="High Discount Loss" sheetId="6" r:id="rId6"/>
  </sheets>
  <calcPr calcId="191029"/>
</workbook>
</file>

<file path=xl/calcChain.xml><?xml version="1.0" encoding="utf-8"?>
<calcChain xmlns="http://schemas.openxmlformats.org/spreadsheetml/2006/main">
  <c r="C12" i="4" l="1"/>
  <c r="C11" i="4"/>
  <c r="C10" i="4"/>
  <c r="K5" i="4"/>
  <c r="F5" i="4"/>
  <c r="A5" i="4"/>
</calcChain>
</file>

<file path=xl/sharedStrings.xml><?xml version="1.0" encoding="utf-8"?>
<sst xmlns="http://schemas.openxmlformats.org/spreadsheetml/2006/main" count="122" uniqueCount="86">
  <si>
    <t>Sample Superstore — Excel Analysis Workbook</t>
  </si>
  <si>
    <t>Workbook contents</t>
  </si>
  <si>
    <t>Sheet</t>
  </si>
  <si>
    <t>Purpose</t>
  </si>
  <si>
    <t>Source / note</t>
  </si>
  <si>
    <t>Data Cleaning</t>
  </si>
  <si>
    <t>Duplicate-removal summary for Order ID, with filter/remove-duplicates workflow documented.</t>
  </si>
  <si>
    <t>The original SampleSuperstore.csv was not attached in this chat. This workbook therefore uses the standard 21-column Superstore dataset (9,994 rows; 5,009 unique Order IDs) represented by the public source below. The cleaned-data counts, regional/category summaries, and sub-category profitability are based on that standard dataset.</t>
  </si>
  <si>
    <t>Region Pivot</t>
  </si>
  <si>
    <t>Sales and Profit summarized by Region; highest-profit region highlighted.</t>
  </si>
  <si>
    <t>Dashboard</t>
  </si>
  <si>
    <t>KPI cards plus Sales by Category bar chart.</t>
  </si>
  <si>
    <t>Top 5 Sub-Cats</t>
  </si>
  <si>
    <t>Top five most-profitable Sub-Categories and findings comment box.</t>
  </si>
  <si>
    <t>High Discount Loss</t>
  </si>
  <si>
    <t>Orders where Discount &gt; 20% and Profit &lt; 0, with conditional formatting.</t>
  </si>
  <si>
    <t>Public source: https://raw.githubusercontent.com/leonism/sample-superstore/master/data/superstore.csv</t>
  </si>
  <si>
    <t>1. Data Cleaning — Order ID Deduplication</t>
  </si>
  <si>
    <t>Metric</t>
  </si>
  <si>
    <t>Value</t>
  </si>
  <si>
    <t>Excel workflow used</t>
  </si>
  <si>
    <t>Raw rows</t>
  </si>
  <si>
    <t>1</t>
  </si>
  <si>
    <t>Apply Filter to Order ID (or use Data &gt; Filter).</t>
  </si>
  <si>
    <t>Unique Order IDs</t>
  </si>
  <si>
    <t>2</t>
  </si>
  <si>
    <t>Use Data &gt; Remove Duplicates and select only Order ID.</t>
  </si>
  <si>
    <t>Duplicate rows removed</t>
  </si>
  <si>
    <t>3</t>
  </si>
  <si>
    <t>Keep the first occurrence of each Order ID.</t>
  </si>
  <si>
    <t>Rows after Remove Duplicates</t>
  </si>
  <si>
    <t>4</t>
  </si>
  <si>
    <t>Result: one row per Order ID in the cleaned analysis set.</t>
  </si>
  <si>
    <t>5</t>
  </si>
  <si>
    <t>The dashboard/pivots below use the standard dataset's published aggregates.</t>
  </si>
  <si>
    <t>2. Pivot-Style Summary — Sales &amp; Profit by Region</t>
  </si>
  <si>
    <t>Region</t>
  </si>
  <si>
    <t>Total Sales</t>
  </si>
  <si>
    <t>Total Profit</t>
  </si>
  <si>
    <t>Profit Rank</t>
  </si>
  <si>
    <t>Highest profit region: WEST
Profit = $108,418.45</t>
  </si>
  <si>
    <t>Central</t>
  </si>
  <si>
    <t>East</t>
  </si>
  <si>
    <t>South</t>
  </si>
  <si>
    <t>West</t>
  </si>
  <si>
    <t>Grand Total</t>
  </si>
  <si>
    <t>SUPERSTORE SALES DASHBOARD</t>
  </si>
  <si>
    <t>TOTAL SALES</t>
  </si>
  <si>
    <t>TOTAL PROFIT</t>
  </si>
  <si>
    <t>UNIQUE ORDERS</t>
  </si>
  <si>
    <t>Category</t>
  </si>
  <si>
    <t>Sales</t>
  </si>
  <si>
    <t>Share of Sales</t>
  </si>
  <si>
    <t>Furniture</t>
  </si>
  <si>
    <t>Office Supplies</t>
  </si>
  <si>
    <t>Technology</t>
  </si>
  <si>
    <t>5. Top 5 Most Profitable Sub-Categories</t>
  </si>
  <si>
    <t>Rank</t>
  </si>
  <si>
    <t>Sub-Category</t>
  </si>
  <si>
    <t>Profit</t>
  </si>
  <si>
    <t>Findings
Copiers lead profitability at $55.6K, followed by Phones ($44.5K) and Accessories ($41.9K). Paper and Binders round out the top five. Technology-heavy sub-categories dominate the list, while the dataset also shows loss-making areas such as Tables and Bookcases.</t>
  </si>
  <si>
    <t>Copiers</t>
  </si>
  <si>
    <t>Phones</t>
  </si>
  <si>
    <t>Accessories</t>
  </si>
  <si>
    <t>Paper</t>
  </si>
  <si>
    <t>Binders</t>
  </si>
  <si>
    <t>3. High Discount + Negative Profit Orders</t>
  </si>
  <si>
    <t>Order ID</t>
  </si>
  <si>
    <t>Discount</t>
  </si>
  <si>
    <t>Condition</t>
  </si>
  <si>
    <t>Source Row</t>
  </si>
  <si>
    <t>Note</t>
  </si>
  <si>
    <t>US-2016-108966</t>
  </si>
  <si>
    <t>Discount &gt;20% AND Profit &lt;0</t>
  </si>
  <si>
    <t>Flagged</t>
  </si>
  <si>
    <t>US-2016-118983</t>
  </si>
  <si>
    <t>US-2018-156909</t>
  </si>
  <si>
    <t>US-2016-150630</t>
  </si>
  <si>
    <t>CA-2017-117590</t>
  </si>
  <si>
    <t>CA-2016-117415</t>
  </si>
  <si>
    <t>US-2016-164175</t>
  </si>
  <si>
    <t>US-2018-118038</t>
  </si>
  <si>
    <t>US-2015-147606</t>
  </si>
  <si>
    <t>—</t>
  </si>
  <si>
    <t>Rule shown on this sheet</t>
  </si>
  <si>
    <t>The original CSV was not attached; these are source-excerpt examples.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</si>
</sst>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0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sz val="11"/>
      <color rgb="FF1F4E79"/>
      <name val="Carlito"/>
    </font>
    <font>
      <b/>
      <sz val="11"/>
      <name val="Carlito"/>
    </font>
    <font>
      <b/>
      <sz val="14"/>
      <color rgb="FFFFFFFF"/>
      <name val="Carlito"/>
    </font>
    <font>
      <b/>
      <sz val="20"/>
      <color rgb="FF17365D"/>
      <name val="Carlito"/>
    </font>
    <font>
      <b/>
      <sz val="20"/>
      <color rgb="FF548235"/>
      <name val="Carlito"/>
    </font>
    <font>
      <b/>
      <sz val="20"/>
      <color rgb="FFBF900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C6E0B4"/>
      </patternFill>
    </fill>
    <fill>
      <patternFill patternType="solid">
        <fgColor rgb="FF70AD47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3" fontId="0" fillId="0" borderId="0" xfId="0" applyNumberFormat="1" applyFont="1" applyFill="1" applyBorder="1"/>
    <xf numFmtId="0" fontId="5" fillId="6" borderId="0" xfId="0" applyNumberFormat="1" applyFont="1" applyFill="1" applyBorder="1" applyAlignment="1">
      <alignment horizontal="center" wrapText="1"/>
    </xf>
    <xf numFmtId="164" fontId="0" fillId="0" borderId="0" xfId="0" applyNumberFormat="1" applyFont="1" applyFill="1" applyBorder="1"/>
    <xf numFmtId="0" fontId="5" fillId="7" borderId="0" xfId="0" applyNumberFormat="1" applyFont="1" applyFill="1" applyBorder="1"/>
    <xf numFmtId="164" fontId="5" fillId="7" borderId="0" xfId="0" applyNumberFormat="1" applyFont="1" applyFill="1" applyBorder="1"/>
    <xf numFmtId="165" fontId="0" fillId="0" borderId="0" xfId="0" applyNumberFormat="1" applyFont="1" applyFill="1" applyBorder="1"/>
    <xf numFmtId="165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left" vertical="center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5" borderId="0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wrapText="1"/>
    </xf>
    <xf numFmtId="0" fontId="6" fillId="8" borderId="0" xfId="0" applyNumberFormat="1" applyFont="1" applyFill="1" applyBorder="1" applyAlignment="1">
      <alignment horizontal="center" vertical="center" wrapText="1"/>
    </xf>
    <xf numFmtId="0" fontId="0" fillId="0" borderId="0" xfId="0"/>
    <xf numFmtId="164" fontId="7" fillId="9" borderId="0" xfId="0" applyNumberFormat="1" applyFont="1" applyFill="1" applyBorder="1" applyAlignment="1">
      <alignment horizontal="center" vertical="center"/>
    </xf>
    <xf numFmtId="0" fontId="7" fillId="9" borderId="0" xfId="0" applyNumberFormat="1" applyFont="1" applyFill="1" applyBorder="1" applyAlignment="1">
      <alignment horizontal="center" vertical="center"/>
    </xf>
    <xf numFmtId="164" fontId="8" fillId="6" borderId="0" xfId="0" applyNumberFormat="1" applyFont="1" applyFill="1" applyBorder="1" applyAlignment="1">
      <alignment horizontal="center" vertical="center"/>
    </xf>
    <xf numFmtId="0" fontId="8" fillId="6" borderId="0" xfId="0" applyNumberFormat="1" applyFont="1" applyFill="1" applyBorder="1" applyAlignment="1">
      <alignment horizontal="center" vertical="center"/>
    </xf>
    <xf numFmtId="3" fontId="9" fillId="5" borderId="0" xfId="0" applyNumberFormat="1" applyFont="1" applyFill="1" applyBorder="1" applyAlignment="1">
      <alignment horizontal="center" vertical="center"/>
    </xf>
    <xf numFmtId="0" fontId="9" fillId="5" borderId="0" xfId="0" applyNumberFormat="1" applyFont="1" applyFill="1" applyBorder="1" applyAlignment="1">
      <alignment horizontal="center" vertical="center"/>
    </xf>
    <xf numFmtId="0" fontId="0" fillId="5" borderId="1" xfId="0" applyNumberFormat="1" applyFont="1" applyFill="1" applyBorder="1" applyAlignment="1">
      <alignment vertical="top" wrapText="1"/>
    </xf>
    <xf numFmtId="0" fontId="0" fillId="5" borderId="2" xfId="0" applyNumberFormat="1" applyFont="1" applyFill="1" applyBorder="1" applyAlignment="1">
      <alignment vertical="top" wrapText="1"/>
    </xf>
    <xf numFmtId="0" fontId="0" fillId="5" borderId="3" xfId="0" applyNumberFormat="1" applyFont="1" applyFill="1" applyBorder="1" applyAlignment="1">
      <alignment vertical="top" wrapText="1"/>
    </xf>
    <xf numFmtId="0" fontId="0" fillId="5" borderId="4" xfId="0" applyNumberFormat="1" applyFont="1" applyFill="1" applyBorder="1" applyAlignment="1">
      <alignment vertical="top" wrapText="1"/>
    </xf>
    <xf numFmtId="0" fontId="0" fillId="5" borderId="5" xfId="0" applyNumberFormat="1" applyFont="1" applyFill="1" applyBorder="1" applyAlignment="1">
      <alignment vertical="top" wrapText="1"/>
    </xf>
    <xf numFmtId="0" fontId="0" fillId="5" borderId="6" xfId="0" applyNumberFormat="1" applyFont="1" applyFill="1" applyBorder="1" applyAlignment="1">
      <alignment vertical="top" wrapText="1"/>
    </xf>
    <xf numFmtId="0" fontId="0" fillId="5" borderId="7" xfId="0" applyNumberFormat="1" applyFont="1" applyFill="1" applyBorder="1" applyAlignment="1">
      <alignment vertical="top" wrapText="1"/>
    </xf>
    <xf numFmtId="0" fontId="0" fillId="5" borderId="8" xfId="0" applyNumberFormat="1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Dashboard!$A$10:$A$12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Dashboard!$B$10:$B$12</c:f>
              <c:numCache>
                <c:formatCode>\$#,##0.00</c:formatCode>
                <c:ptCount val="3"/>
                <c:pt idx="0">
                  <c:v>741999.7953</c:v>
                </c:pt>
                <c:pt idx="1">
                  <c:v>719047.03200000001</c:v>
                </c:pt>
                <c:pt idx="2">
                  <c:v>836154.03300000005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5-46A0-8AED-60D30249C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5 Profitable Sub-Categories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Profit</c:v>
          </c:tx>
          <c:invertIfNegative val="1"/>
          <c:cat>
            <c:strRef>
              <c:f>'Top 5 Sub-Cats'!$B$4:$B$8</c:f>
              <c:strCache>
                <c:ptCount val="5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</c:strCache>
            </c:strRef>
          </c:cat>
          <c:val>
            <c:numRef>
              <c:f>'Top 5 Sub-Cats'!$C$4:$C$8</c:f>
              <c:numCache>
                <c:formatCode>\$#,##0.00</c:formatCode>
                <c:ptCount val="5"/>
                <c:pt idx="0">
                  <c:v>55617.8249</c:v>
                </c:pt>
                <c:pt idx="1">
                  <c:v>44515.730600000003</c:v>
                </c:pt>
                <c:pt idx="2">
                  <c:v>41936.635699999999</c:v>
                </c:pt>
                <c:pt idx="3">
                  <c:v>34053.569300000003</c:v>
                </c:pt>
                <c:pt idx="4">
                  <c:v>30221.763299999999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1-4652-93A9-975BE9525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D9" sqref="D9:H10"/>
    </sheetView>
  </sheetViews>
  <sheetFormatPr defaultRowHeight="14"/>
  <cols>
    <col min="1" max="1" width="28" customWidth="1"/>
    <col min="2" max="2" width="58" customWidth="1"/>
    <col min="4" max="8" width="22" customWidth="1"/>
  </cols>
  <sheetData>
    <row r="1" spans="1:8" ht="20">
      <c r="A1" s="11" t="s">
        <v>0</v>
      </c>
      <c r="B1" s="11"/>
      <c r="C1" s="11"/>
      <c r="D1" s="11"/>
      <c r="E1" s="11"/>
      <c r="F1" s="11"/>
      <c r="G1" s="11"/>
      <c r="H1" s="11"/>
    </row>
    <row r="3" spans="1:8">
      <c r="A3" s="12" t="s">
        <v>1</v>
      </c>
      <c r="B3" s="12"/>
      <c r="C3" s="12"/>
      <c r="D3" s="12"/>
      <c r="E3" s="12"/>
      <c r="F3" s="12"/>
      <c r="G3" s="12"/>
      <c r="H3" s="12"/>
    </row>
    <row r="4" spans="1:8">
      <c r="A4" s="1" t="s">
        <v>2</v>
      </c>
      <c r="B4" s="1" t="s">
        <v>3</v>
      </c>
      <c r="D4" s="13" t="s">
        <v>4</v>
      </c>
      <c r="E4" s="13"/>
      <c r="F4" s="13"/>
      <c r="G4" s="13"/>
      <c r="H4" s="13"/>
    </row>
    <row r="5" spans="1:8" ht="28">
      <c r="A5" s="2" t="s">
        <v>5</v>
      </c>
      <c r="B5" s="2" t="s">
        <v>6</v>
      </c>
      <c r="D5" s="14" t="s">
        <v>7</v>
      </c>
      <c r="E5" s="14"/>
      <c r="F5" s="14"/>
      <c r="G5" s="14"/>
      <c r="H5" s="14"/>
    </row>
    <row r="6" spans="1:8" ht="28">
      <c r="A6" s="2" t="s">
        <v>8</v>
      </c>
      <c r="B6" s="2" t="s">
        <v>9</v>
      </c>
      <c r="D6" s="14"/>
      <c r="E6" s="14"/>
      <c r="F6" s="14"/>
      <c r="G6" s="14"/>
      <c r="H6" s="14"/>
    </row>
    <row r="7" spans="1:8">
      <c r="A7" s="2" t="s">
        <v>10</v>
      </c>
      <c r="B7" s="2" t="s">
        <v>11</v>
      </c>
      <c r="D7" s="14"/>
      <c r="E7" s="14"/>
      <c r="F7" s="14"/>
      <c r="G7" s="14"/>
      <c r="H7" s="14"/>
    </row>
    <row r="8" spans="1:8">
      <c r="A8" s="2" t="s">
        <v>12</v>
      </c>
      <c r="B8" s="2" t="s">
        <v>13</v>
      </c>
      <c r="D8" s="14"/>
      <c r="E8" s="14"/>
      <c r="F8" s="14"/>
      <c r="G8" s="14"/>
      <c r="H8" s="14"/>
    </row>
    <row r="9" spans="1:8" ht="28">
      <c r="A9" s="2" t="s">
        <v>14</v>
      </c>
      <c r="B9" s="2" t="s">
        <v>15</v>
      </c>
      <c r="D9" s="15" t="s">
        <v>16</v>
      </c>
      <c r="E9" s="15"/>
      <c r="F9" s="15"/>
      <c r="G9" s="15"/>
      <c r="H9" s="15"/>
    </row>
    <row r="10" spans="1:8">
      <c r="D10" s="15"/>
      <c r="E10" s="15"/>
      <c r="F10" s="15"/>
      <c r="G10" s="15"/>
      <c r="H10" s="15"/>
    </row>
  </sheetData>
  <mergeCells count="5">
    <mergeCell ref="A1:H1"/>
    <mergeCell ref="A3:H3"/>
    <mergeCell ref="D4:H4"/>
    <mergeCell ref="D5:H8"/>
    <mergeCell ref="D9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sqref="A1:H1"/>
    </sheetView>
  </sheetViews>
  <sheetFormatPr defaultRowHeight="14"/>
  <cols>
    <col min="4" max="4" width="18" customWidth="1"/>
    <col min="5" max="8" width="21" customWidth="1"/>
  </cols>
  <sheetData>
    <row r="1" spans="1:8" ht="20">
      <c r="A1" s="11" t="s">
        <v>17</v>
      </c>
      <c r="B1" s="11"/>
      <c r="C1" s="11"/>
      <c r="D1" s="11"/>
      <c r="E1" s="11"/>
      <c r="F1" s="11"/>
      <c r="G1" s="11"/>
      <c r="H1" s="11"/>
    </row>
    <row r="3" spans="1:8">
      <c r="A3" s="1" t="s">
        <v>18</v>
      </c>
      <c r="B3" s="1" t="s">
        <v>19</v>
      </c>
      <c r="D3" s="12" t="s">
        <v>20</v>
      </c>
      <c r="E3" s="12"/>
      <c r="F3" s="12"/>
      <c r="G3" s="12"/>
      <c r="H3" s="12"/>
    </row>
    <row r="4" spans="1:8" ht="28">
      <c r="A4" t="s">
        <v>21</v>
      </c>
      <c r="B4" s="3">
        <v>9994</v>
      </c>
      <c r="D4" s="4" t="s">
        <v>22</v>
      </c>
      <c r="E4" s="2" t="s">
        <v>23</v>
      </c>
      <c r="F4" s="2"/>
      <c r="G4" s="2"/>
      <c r="H4" s="2"/>
    </row>
    <row r="5" spans="1:8" ht="42">
      <c r="A5" t="s">
        <v>24</v>
      </c>
      <c r="B5" s="3">
        <v>5009</v>
      </c>
      <c r="D5" s="4" t="s">
        <v>25</v>
      </c>
      <c r="E5" s="2" t="s">
        <v>26</v>
      </c>
      <c r="F5" s="2"/>
      <c r="G5" s="2"/>
      <c r="H5" s="2"/>
    </row>
    <row r="6" spans="1:8" ht="28">
      <c r="A6" t="s">
        <v>27</v>
      </c>
      <c r="B6" s="3">
        <v>4985</v>
      </c>
      <c r="D6" s="4" t="s">
        <v>28</v>
      </c>
      <c r="E6" s="2" t="s">
        <v>29</v>
      </c>
      <c r="F6" s="2"/>
      <c r="G6" s="2"/>
      <c r="H6" s="2"/>
    </row>
    <row r="7" spans="1:8" ht="42">
      <c r="A7" t="s">
        <v>30</v>
      </c>
      <c r="B7" s="3">
        <v>5009</v>
      </c>
      <c r="D7" s="4" t="s">
        <v>31</v>
      </c>
      <c r="E7" s="2" t="s">
        <v>32</v>
      </c>
      <c r="F7" s="2"/>
      <c r="G7" s="2"/>
      <c r="H7" s="2"/>
    </row>
    <row r="8" spans="1:8" ht="56">
      <c r="D8" s="4" t="s">
        <v>33</v>
      </c>
      <c r="E8" s="2" t="s">
        <v>34</v>
      </c>
      <c r="F8" s="2"/>
      <c r="G8" s="2"/>
      <c r="H8" s="2"/>
    </row>
  </sheetData>
  <mergeCells count="2">
    <mergeCell ref="A1:H1"/>
    <mergeCell ref="D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sqref="A1:F1"/>
    </sheetView>
  </sheetViews>
  <sheetFormatPr defaultRowHeight="14"/>
  <cols>
    <col min="1" max="4" width="18" customWidth="1"/>
  </cols>
  <sheetData>
    <row r="1" spans="1:8" ht="20">
      <c r="A1" s="11" t="s">
        <v>35</v>
      </c>
      <c r="B1" s="11"/>
      <c r="C1" s="11"/>
      <c r="D1" s="11"/>
      <c r="E1" s="11"/>
      <c r="F1" s="11"/>
    </row>
    <row r="3" spans="1:8">
      <c r="A3" s="1" t="s">
        <v>36</v>
      </c>
      <c r="B3" s="1" t="s">
        <v>37</v>
      </c>
      <c r="C3" s="1" t="s">
        <v>38</v>
      </c>
      <c r="D3" s="1" t="s">
        <v>39</v>
      </c>
      <c r="F3" s="16" t="s">
        <v>40</v>
      </c>
      <c r="G3" s="16"/>
      <c r="H3" s="16"/>
    </row>
    <row r="4" spans="1:8">
      <c r="A4" t="s">
        <v>41</v>
      </c>
      <c r="B4" s="5">
        <v>501239.89079999999</v>
      </c>
      <c r="C4" s="5">
        <v>39706.362500000003</v>
      </c>
      <c r="D4">
        <v>3</v>
      </c>
      <c r="F4" s="16"/>
      <c r="G4" s="16"/>
      <c r="H4" s="16"/>
    </row>
    <row r="5" spans="1:8">
      <c r="A5" t="s">
        <v>42</v>
      </c>
      <c r="B5" s="5">
        <v>678781.24</v>
      </c>
      <c r="C5" s="5">
        <v>91522.78</v>
      </c>
      <c r="D5">
        <v>2</v>
      </c>
      <c r="F5" s="16"/>
      <c r="G5" s="16"/>
      <c r="H5" s="16"/>
    </row>
    <row r="6" spans="1:8">
      <c r="A6" t="s">
        <v>43</v>
      </c>
      <c r="B6" s="5">
        <v>391721.90500000003</v>
      </c>
      <c r="C6" s="5">
        <v>46749.4303</v>
      </c>
      <c r="D6">
        <v>4</v>
      </c>
    </row>
    <row r="7" spans="1:8">
      <c r="A7" s="6" t="s">
        <v>44</v>
      </c>
      <c r="B7" s="7">
        <v>725457.82449999999</v>
      </c>
      <c r="C7" s="7">
        <v>108418.4489</v>
      </c>
      <c r="D7" s="6">
        <v>1</v>
      </c>
    </row>
    <row r="8" spans="1:8">
      <c r="A8" t="s">
        <v>45</v>
      </c>
      <c r="B8" s="5">
        <v>2297200.86</v>
      </c>
      <c r="C8" s="5">
        <v>286397.02169999998</v>
      </c>
    </row>
  </sheetData>
  <mergeCells count="2">
    <mergeCell ref="A1:F1"/>
    <mergeCell ref="F3:H5"/>
  </mergeCells>
  <conditionalFormatting sqref="D4:D7">
    <cfRule type="colorScale" priority="1">
      <colorScale>
        <cfvo type="min"/>
        <cfvo type="percentile" val="50"/>
        <cfvo type="max"/>
        <color rgb="FFFDE9D9"/>
        <color rgb="FFFFF2CC"/>
        <color rgb="FFC6E0B4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workbookViewId="0">
      <selection sqref="A1:N2"/>
    </sheetView>
  </sheetViews>
  <sheetFormatPr defaultRowHeight="14"/>
  <cols>
    <col min="1" max="2" width="20" customWidth="1"/>
    <col min="3" max="3" width="16" customWidth="1"/>
  </cols>
  <sheetData>
    <row r="1" spans="1:14">
      <c r="A1" s="11" t="s">
        <v>46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>
      <c r="A4" s="12" t="s">
        <v>47</v>
      </c>
      <c r="B4" s="17"/>
      <c r="C4" s="17"/>
      <c r="D4" s="17"/>
      <c r="F4" s="12" t="s">
        <v>48</v>
      </c>
      <c r="G4" s="17"/>
      <c r="H4" s="17"/>
      <c r="I4" s="17"/>
      <c r="K4" s="12" t="s">
        <v>49</v>
      </c>
      <c r="L4" s="17"/>
      <c r="M4" s="17"/>
      <c r="N4" s="17"/>
    </row>
    <row r="5" spans="1:14">
      <c r="A5" s="18">
        <f>'Region Pivot'!B8</f>
        <v>2297200.86</v>
      </c>
      <c r="B5" s="19"/>
      <c r="C5" s="19"/>
      <c r="D5" s="19"/>
      <c r="F5" s="20">
        <f>'Region Pivot'!C8</f>
        <v>286397.02169999998</v>
      </c>
      <c r="G5" s="21"/>
      <c r="H5" s="21"/>
      <c r="I5" s="21"/>
      <c r="K5" s="22">
        <f>'Data Cleaning'!B5</f>
        <v>5009</v>
      </c>
      <c r="L5" s="23"/>
      <c r="M5" s="23"/>
      <c r="N5" s="23"/>
    </row>
    <row r="6" spans="1:14">
      <c r="A6" s="19"/>
      <c r="B6" s="19"/>
      <c r="C6" s="19"/>
      <c r="D6" s="19"/>
      <c r="F6" s="21"/>
      <c r="G6" s="21"/>
      <c r="H6" s="21"/>
      <c r="I6" s="21"/>
      <c r="K6" s="23"/>
      <c r="L6" s="23"/>
      <c r="M6" s="23"/>
      <c r="N6" s="23"/>
    </row>
    <row r="9" spans="1:14">
      <c r="A9" s="1" t="s">
        <v>50</v>
      </c>
      <c r="B9" s="1" t="s">
        <v>51</v>
      </c>
      <c r="C9" s="1" t="s">
        <v>52</v>
      </c>
    </row>
    <row r="10" spans="1:14">
      <c r="A10" t="s">
        <v>53</v>
      </c>
      <c r="B10" s="5">
        <v>741999.7953</v>
      </c>
      <c r="C10" s="8">
        <f>B10/$B$13</f>
        <v>0.32300170534499978</v>
      </c>
    </row>
    <row r="11" spans="1:14">
      <c r="A11" t="s">
        <v>54</v>
      </c>
      <c r="B11" s="5">
        <v>719047.03200000001</v>
      </c>
      <c r="C11" s="8">
        <f>B11/$B$13</f>
        <v>0.31301008306256689</v>
      </c>
    </row>
    <row r="12" spans="1:14">
      <c r="A12" t="s">
        <v>55</v>
      </c>
      <c r="B12" s="5">
        <v>836154.03300000005</v>
      </c>
      <c r="C12" s="8">
        <f>B12/$B$13</f>
        <v>0.3639882117230272</v>
      </c>
    </row>
    <row r="13" spans="1:14">
      <c r="A13" t="s">
        <v>45</v>
      </c>
      <c r="B13" s="5">
        <v>2297200.86</v>
      </c>
    </row>
  </sheetData>
  <mergeCells count="7">
    <mergeCell ref="A1:N2"/>
    <mergeCell ref="A4:D4"/>
    <mergeCell ref="A5:D6"/>
    <mergeCell ref="F4:I4"/>
    <mergeCell ref="F5:I6"/>
    <mergeCell ref="K4:N4"/>
    <mergeCell ref="K5:N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sqref="A1:H1"/>
    </sheetView>
  </sheetViews>
  <sheetFormatPr defaultRowHeight="14"/>
  <sheetData>
    <row r="1" spans="1:8" ht="20">
      <c r="A1" s="11" t="s">
        <v>56</v>
      </c>
      <c r="B1" s="11"/>
      <c r="C1" s="11"/>
      <c r="D1" s="11"/>
      <c r="E1" s="11"/>
      <c r="F1" s="11"/>
      <c r="G1" s="11"/>
      <c r="H1" s="11"/>
    </row>
    <row r="3" spans="1:8" ht="28">
      <c r="A3" s="1" t="s">
        <v>57</v>
      </c>
      <c r="B3" s="1" t="s">
        <v>58</v>
      </c>
      <c r="C3" s="1" t="s">
        <v>59</v>
      </c>
      <c r="E3" s="24" t="s">
        <v>60</v>
      </c>
      <c r="F3" s="25"/>
      <c r="G3" s="25"/>
      <c r="H3" s="26"/>
    </row>
    <row r="4" spans="1:8">
      <c r="A4">
        <v>1</v>
      </c>
      <c r="B4" t="s">
        <v>61</v>
      </c>
      <c r="C4" s="5">
        <v>55617.8249</v>
      </c>
      <c r="E4" s="27"/>
      <c r="F4" s="14"/>
      <c r="G4" s="14"/>
      <c r="H4" s="28"/>
    </row>
    <row r="5" spans="1:8">
      <c r="A5">
        <v>2</v>
      </c>
      <c r="B5" t="s">
        <v>62</v>
      </c>
      <c r="C5" s="5">
        <v>44515.730600000003</v>
      </c>
      <c r="E5" s="27"/>
      <c r="F5" s="14"/>
      <c r="G5" s="14"/>
      <c r="H5" s="28"/>
    </row>
    <row r="6" spans="1:8">
      <c r="A6">
        <v>3</v>
      </c>
      <c r="B6" t="s">
        <v>63</v>
      </c>
      <c r="C6" s="5">
        <v>41936.635699999999</v>
      </c>
      <c r="E6" s="27"/>
      <c r="F6" s="14"/>
      <c r="G6" s="14"/>
      <c r="H6" s="28"/>
    </row>
    <row r="7" spans="1:8">
      <c r="A7">
        <v>4</v>
      </c>
      <c r="B7" t="s">
        <v>64</v>
      </c>
      <c r="C7" s="5">
        <v>34053.569300000003</v>
      </c>
      <c r="E7" s="29"/>
      <c r="F7" s="30"/>
      <c r="G7" s="30"/>
      <c r="H7" s="31"/>
    </row>
    <row r="8" spans="1:8">
      <c r="A8">
        <v>5</v>
      </c>
      <c r="B8" t="s">
        <v>65</v>
      </c>
      <c r="C8" s="5">
        <v>30221.763299999999</v>
      </c>
    </row>
  </sheetData>
  <mergeCells count="2">
    <mergeCell ref="A1:H1"/>
    <mergeCell ref="E3:H7"/>
  </mergeCells>
  <conditionalFormatting sqref="A4:C8">
    <cfRule type="dataBar" priority="1">
      <dataBar>
        <cfvo type="min"/>
        <cfvo type="max"/>
        <color rgb="FF5B9BD5"/>
      </dataBar>
    </cfRule>
  </conditionalFormatting>
  <conditionalFormatting sqref="A4:C8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{AB19461D-8A60-6078-11B8-3CD215AE683E}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19461D-8A60-6078-11B8-3CD215AE683E}">
            <x14:dataBar>
              <x14:cfvo type="min"/>
              <x14:cfvo type="max"/>
              <x14:negativeFillColor auto="1"/>
              <x14:axisColor auto="1"/>
            </x14:dataBar>
          </x14:cfRule>
          <xm:sqref>A4:C8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selection sqref="A1:F1"/>
    </sheetView>
  </sheetViews>
  <sheetFormatPr defaultRowHeight="14"/>
  <cols>
    <col min="1" max="3" width="20" customWidth="1"/>
    <col min="4" max="4" width="30" customWidth="1"/>
    <col min="5" max="5" width="20" customWidth="1"/>
    <col min="6" max="6" width="38" customWidth="1"/>
  </cols>
  <sheetData>
    <row r="1" spans="1:6" ht="20">
      <c r="A1" s="11" t="s">
        <v>66</v>
      </c>
      <c r="B1" s="11"/>
      <c r="C1" s="11"/>
      <c r="D1" s="11"/>
      <c r="E1" s="11"/>
      <c r="F1" s="11"/>
    </row>
    <row r="3" spans="1:6">
      <c r="A3" s="1" t="s">
        <v>67</v>
      </c>
      <c r="B3" s="1" t="s">
        <v>68</v>
      </c>
      <c r="C3" s="1" t="s">
        <v>59</v>
      </c>
      <c r="D3" s="1" t="s">
        <v>69</v>
      </c>
      <c r="E3" s="1" t="s">
        <v>70</v>
      </c>
      <c r="F3" s="1" t="s">
        <v>71</v>
      </c>
    </row>
    <row r="4" spans="1:6">
      <c r="A4" s="2" t="s">
        <v>72</v>
      </c>
      <c r="B4" s="9">
        <v>0.45</v>
      </c>
      <c r="C4" s="10">
        <v>-383.03100000000001</v>
      </c>
      <c r="D4" s="2" t="s">
        <v>73</v>
      </c>
      <c r="E4" s="2">
        <v>4</v>
      </c>
      <c r="F4" s="2" t="s">
        <v>74</v>
      </c>
    </row>
    <row r="5" spans="1:6">
      <c r="A5" s="2" t="s">
        <v>75</v>
      </c>
      <c r="B5" s="9">
        <v>0.8</v>
      </c>
      <c r="C5" s="10">
        <v>-123.858</v>
      </c>
      <c r="D5" s="2" t="s">
        <v>73</v>
      </c>
      <c r="E5" s="2">
        <v>15</v>
      </c>
      <c r="F5" s="2" t="s">
        <v>74</v>
      </c>
    </row>
    <row r="6" spans="1:6">
      <c r="A6" s="2" t="s">
        <v>75</v>
      </c>
      <c r="B6" s="9">
        <v>0.8</v>
      </c>
      <c r="C6" s="10">
        <v>-3.8159999999999998</v>
      </c>
      <c r="D6" s="2" t="s">
        <v>73</v>
      </c>
      <c r="E6" s="2">
        <v>16</v>
      </c>
      <c r="F6" s="2" t="s">
        <v>74</v>
      </c>
    </row>
    <row r="7" spans="1:6">
      <c r="A7" s="2" t="s">
        <v>76</v>
      </c>
      <c r="B7" s="9">
        <v>0.3</v>
      </c>
      <c r="C7" s="10">
        <v>-1.0196000000000001</v>
      </c>
      <c r="D7" s="2" t="s">
        <v>73</v>
      </c>
      <c r="E7" s="2">
        <v>24</v>
      </c>
      <c r="F7" s="2" t="s">
        <v>74</v>
      </c>
    </row>
    <row r="8" spans="1:6">
      <c r="A8" s="2" t="s">
        <v>77</v>
      </c>
      <c r="B8" s="9">
        <v>0.5</v>
      </c>
      <c r="C8" s="10">
        <v>-1665.0522000000001</v>
      </c>
      <c r="D8" s="2" t="s">
        <v>73</v>
      </c>
      <c r="E8" s="2">
        <v>28</v>
      </c>
      <c r="F8" s="2" t="s">
        <v>74</v>
      </c>
    </row>
    <row r="9" spans="1:6">
      <c r="A9" s="2" t="s">
        <v>77</v>
      </c>
      <c r="B9" s="9">
        <v>0.7</v>
      </c>
      <c r="C9" s="10">
        <v>-7.0532000000000004</v>
      </c>
      <c r="D9" s="2" t="s">
        <v>73</v>
      </c>
      <c r="E9" s="2">
        <v>29</v>
      </c>
      <c r="F9" s="2" t="s">
        <v>74</v>
      </c>
    </row>
    <row r="10" spans="1:6">
      <c r="A10" s="2" t="s">
        <v>77</v>
      </c>
      <c r="B10" s="9">
        <v>0.7</v>
      </c>
      <c r="C10" s="10">
        <v>-5.7149999999999999</v>
      </c>
      <c r="D10" s="2" t="s">
        <v>73</v>
      </c>
      <c r="E10" s="2">
        <v>33</v>
      </c>
      <c r="F10" s="2" t="s">
        <v>74</v>
      </c>
    </row>
    <row r="11" spans="1:6">
      <c r="A11" s="2" t="s">
        <v>78</v>
      </c>
      <c r="B11" s="9">
        <v>0.6</v>
      </c>
      <c r="C11" s="10">
        <v>-147.96299999999999</v>
      </c>
      <c r="D11" s="2" t="s">
        <v>73</v>
      </c>
      <c r="E11" s="2">
        <v>37</v>
      </c>
      <c r="F11" s="2" t="s">
        <v>74</v>
      </c>
    </row>
    <row r="12" spans="1:6">
      <c r="A12" s="2" t="s">
        <v>79</v>
      </c>
      <c r="B12" s="9">
        <v>0.32</v>
      </c>
      <c r="C12" s="10">
        <v>-46.976399999999998</v>
      </c>
      <c r="D12" s="2" t="s">
        <v>73</v>
      </c>
      <c r="E12" s="2">
        <v>39</v>
      </c>
      <c r="F12" s="2" t="s">
        <v>74</v>
      </c>
    </row>
    <row r="13" spans="1:6">
      <c r="A13" s="2" t="s">
        <v>79</v>
      </c>
      <c r="B13" s="9">
        <v>0.3</v>
      </c>
      <c r="C13" s="10">
        <v>-15.147</v>
      </c>
      <c r="D13" s="2" t="s">
        <v>73</v>
      </c>
      <c r="E13" s="2">
        <v>40</v>
      </c>
      <c r="F13" s="2" t="s">
        <v>74</v>
      </c>
    </row>
    <row r="14" spans="1:6">
      <c r="A14" s="2" t="s">
        <v>80</v>
      </c>
      <c r="B14" s="9">
        <v>0.3</v>
      </c>
      <c r="C14" s="10">
        <v>-15.2225</v>
      </c>
      <c r="D14" s="2" t="s">
        <v>73</v>
      </c>
      <c r="E14" s="2">
        <v>67</v>
      </c>
      <c r="F14" s="2" t="s">
        <v>74</v>
      </c>
    </row>
    <row r="15" spans="1:6">
      <c r="A15" s="2" t="s">
        <v>81</v>
      </c>
      <c r="B15" s="9">
        <v>0.8</v>
      </c>
      <c r="C15" s="10">
        <v>-1.9343999999999999</v>
      </c>
      <c r="D15" s="2" t="s">
        <v>73</v>
      </c>
      <c r="E15" s="2">
        <v>76</v>
      </c>
      <c r="F15" s="2" t="s">
        <v>74</v>
      </c>
    </row>
    <row r="16" spans="1:6">
      <c r="A16" s="2" t="s">
        <v>81</v>
      </c>
      <c r="B16" s="9">
        <v>0.6</v>
      </c>
      <c r="C16" s="10">
        <v>-5.8247999999999998</v>
      </c>
      <c r="D16" s="2" t="s">
        <v>73</v>
      </c>
      <c r="E16" s="2">
        <v>77</v>
      </c>
      <c r="F16" s="2" t="s">
        <v>74</v>
      </c>
    </row>
    <row r="17" spans="1:6">
      <c r="A17" s="2" t="s">
        <v>82</v>
      </c>
      <c r="B17" s="9">
        <v>0.6</v>
      </c>
      <c r="C17" s="10">
        <v>-14.475</v>
      </c>
      <c r="D17" s="2" t="s">
        <v>73</v>
      </c>
      <c r="E17" s="2">
        <v>79</v>
      </c>
      <c r="F17" s="2" t="s">
        <v>74</v>
      </c>
    </row>
    <row r="18" spans="1:6" ht="28">
      <c r="A18" s="2" t="s">
        <v>83</v>
      </c>
      <c r="B18" s="9"/>
      <c r="C18" s="10"/>
      <c r="D18" s="2" t="s">
        <v>84</v>
      </c>
      <c r="E18" s="2"/>
      <c r="F18" s="2" t="s">
        <v>85</v>
      </c>
    </row>
    <row r="19" spans="1:6">
      <c r="A19" s="2" t="s">
        <v>82</v>
      </c>
      <c r="B19" s="2">
        <v>0.6</v>
      </c>
      <c r="C19" s="2">
        <v>-14.475</v>
      </c>
      <c r="D19" s="2" t="s">
        <v>73</v>
      </c>
      <c r="E19" s="2">
        <v>79</v>
      </c>
      <c r="F19" s="2" t="s">
        <v>74</v>
      </c>
    </row>
  </sheetData>
  <mergeCells count="1">
    <mergeCell ref="A1:F1"/>
  </mergeCells>
  <conditionalFormatting sqref="A4:F18">
    <cfRule type="expression" dxfId="0" priority="1">
      <formula>AND($B4&gt;20%,$C4&lt;0)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RM</vt:lpstr>
      <vt:lpstr>Data Cleaning</vt:lpstr>
      <vt:lpstr>Region Pivot</vt:lpstr>
      <vt:lpstr>Dashboard</vt:lpstr>
      <vt:lpstr>Top 5 Sub-Cats</vt:lpstr>
      <vt:lpstr>High Discount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2026-08-30T04:21:48Z</dcterms:modified>
</cp:coreProperties>
</file>