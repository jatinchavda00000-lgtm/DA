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48992f9c4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038a6c3a6c444af"/>
    <x:sheet xmlns:r="http://schemas.openxmlformats.org/officeDocument/2006/relationships" name="Raw_Data" sheetId="2" r:id="Rac7f0a1d83aa49cd"/>
    <x:sheet xmlns:r="http://schemas.openxmlformats.org/officeDocument/2006/relationships" name="Pivot_1_City" sheetId="3" r:id="Rb93057b08b224b48"/>
    <x:sheet xmlns:r="http://schemas.openxmlformats.org/officeDocument/2006/relationships" name="Pivot_2_Restaurant_City" sheetId="4" r:id="R199b83164ed145ec"/>
    <x:sheet xmlns:r="http://schemas.openxmlformats.org/officeDocument/2006/relationships" name="Pivot_3_Delivery_Partner" sheetId="5" r:id="R719d6109a11a47f8"/>
    <x:sheet xmlns:r="http://schemas.openxmlformats.org/officeDocument/2006/relationships" name="Pivot_4_City_Filter" sheetId="6" r:id="Rb4f2dbbd431c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1" fontId="0" fillId="0" borderId="5" xfId="0" applyNumberFormat="1" applyFont="1" applyFill="1" applyBorder="1"/>
    <x:xf numFmtId="0" fontId="4" fillId="5" borderId="6" xfId="0" applyNumberFormat="1" applyFont="1" applyFill="1" applyBorder="1" applyAlignment="1">
      <x:alignment horizontal="center" vertical="center"/>
    </x:xf>
    <x:xf numFmtId="200" fontId="4" fillId="5" borderId="15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/>
    <x:xf numFmtId="0" fontId="4" fillId="5" borderId="12" xfId="0" applyNumberFormat="1" applyFont="1" applyFill="1" applyBorder="1" applyAlignment="1">
      <x:alignment horizontal="center" vertical="center"/>
    </x:xf>
    <x:xf numFmtId="200" fontId="4" fillId="5" borderId="17" xfId="0" applyNumberFormat="1" applyFont="1" applyFill="1" applyBorder="1" applyAlignment="1">
      <x:alignment horizontal="center" vertical="center"/>
    </x:xf>
    <x:xf numFmtId="201" fontId="4" fillId="5" borderId="13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17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1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b650cda944b4c" /><Relationship Type="http://schemas.openxmlformats.org/officeDocument/2006/relationships/theme" Target="/xl/theme/theme1.xml" Id="R31316c3fccb94430" /><Relationship Type="http://schemas.openxmlformats.org/officeDocument/2006/relationships/sharedStrings" Target="/xl/sharedStrings.xml" Id="R6107f3448b6847fd" /><Relationship Type="http://schemas.openxmlformats.org/officeDocument/2006/relationships/worksheet" Target="/xl/worksheets/sheet1.xml" Id="R3038a6c3a6c444af" /><Relationship Type="http://schemas.openxmlformats.org/officeDocument/2006/relationships/worksheet" Target="/xl/worksheets/sheet2.xml" Id="Rac7f0a1d83aa49cd" /><Relationship Type="http://schemas.openxmlformats.org/officeDocument/2006/relationships/worksheet" Target="/xl/worksheets/sheet3.xml" Id="Rb93057b08b224b48" /><Relationship Type="http://schemas.openxmlformats.org/officeDocument/2006/relationships/worksheet" Target="/xl/worksheets/sheet4.xml" Id="R199b83164ed145ec" /><Relationship Type="http://schemas.openxmlformats.org/officeDocument/2006/relationships/worksheet" Target="/xl/worksheets/sheet5.xml" Id="R719d6109a11a47f8" /><Relationship Type="http://schemas.openxmlformats.org/officeDocument/2006/relationships/worksheet" Target="/xl/worksheets/sheet6.xml" Id="Rb4f2dbbd431c4e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bc8d08084e4f3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c33d50ff7f041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Amount by City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Sum of Amount</c:v>
          </c:tx>
          <c:cat>
            <c:strRef>
              <c:f>'Pivot_1_City'!$A$4:$A$9</c:f>
              <c:strCache>
                <c:ptCount val="0"/>
              </c:strCache>
            </c:strRef>
          </c:cat>
          <c:val>
            <c:numRef>
              <c:f>'Pivot_1_City'!$B$4:$B$9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Order Count by Delivery Partner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 of Orders</c:v>
          </c:tx>
          <c:cat>
            <c:strRef>
              <c:f>'Pivot_3_Delivery_Partner'!$A$4:$A$9</c:f>
              <c:strCache>
                <c:ptCount val="0"/>
              </c:strCache>
            </c:strRef>
          </c:cat>
          <c:val>
            <c:numRef>
              <c:f>'Pivot_3_Delivery_Partner'!$B$4:$B$9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bc8d08084e4f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33d50ff7f041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odOrdersTable" displayName="FoodOrdersTable" ref="A1:E73" headerRowCount="1" totalsRowCount="0" totalsRowShown="0">
  <x:tableColumns count="5">
    <x:tableColumn id="1" name="Order ID"/>
    <x:tableColumn id="2" name="Restaurant"/>
    <x:tableColumn id="3" name="City"/>
    <x:tableColumn id="4" name="Delivery Partner"/>
    <x:tableColumn id="5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e18bf106e7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d72950e7f1c4f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ac37465d63c48e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</x:cols>
  <x:sheetData>
    <x:row r="1" ht="28" customHeight="1">
      <x:c r="A1" s="5" t="str">
        <x:v>Food Delivery Orders — Pivot Table Practice Workbook</x:v>
      </x:c>
      <x:c r="B1" s="5"/>
      <x:c r="C1" s="5"/>
      <x:c r="D1" s="5"/>
      <x:c r="E1" s="5"/>
      <x:c r="F1" s="5"/>
    </x:row>
    <x:row r="3">
      <x:c r="A3" s="14" t="str">
        <x:v>Task</x:v>
      </x:c>
      <x:c r="B3" s="14" t="str">
        <x:v>Completed In</x:v>
      </x:c>
    </x:row>
    <x:row r="4">
      <x:c r="A4" s="38" t="str">
        <x:v>1. Total Amount by City</x:v>
      </x:c>
      <x:c r="B4" s="39" t="str">
        <x:v>Pivot_1_City</x:v>
      </x:c>
    </x:row>
    <x:row r="5">
      <x:c r="A5" s="40" t="str">
        <x:v>2. SUM of Amount by Restaurant × City</x:v>
      </x:c>
      <x:c r="B5" s="41" t="str">
        <x:v>Pivot_2_Restaurant_City</x:v>
      </x:c>
    </x:row>
    <x:row r="6">
      <x:c r="A6" s="40" t="str">
        <x:v>3. COUNT of orders by Delivery Partner</x:v>
      </x:c>
      <x:c r="B6" s="41" t="str">
        <x:v>Pivot_3_Delivery_Partner</x:v>
      </x:c>
    </x:row>
    <x:row r="7">
      <x:c r="A7" s="40" t="str">
        <x:v>4. City filter (default: Ahmedabad)</x:v>
      </x:c>
      <x:c r="B7" s="41" t="str">
        <x:v>Pivot_4_City_Filter</x:v>
      </x:c>
    </x:row>
    <x:row r="8">
      <x:c r="A8" s="42" t="str">
        <x:v>Source</x:v>
      </x:c>
      <x:c r="B8" s="43" t="str">
        <x:v>Synthetic sample dataset created for this workbook (72 orders)</x:v>
      </x:c>
    </x:row>
    <x:row r="10">
      <x:c r="A10" s="34" t="str">
        <x:v>How to use: Start with Raw_Data to inspect the 72 sample orders. Each Pivot sheet summarizes the same dataset. On Pivot_4_City_Filter, change the City Filter dropdown in B2 (e.g., Ahmedabad, Mumbai, Pune) to see the summary values update.</x:v>
      </x:c>
      <x:c r="B10" s="34"/>
      <x:c r="C10" s="34"/>
      <x:c r="D10" s="34"/>
      <x:c r="E10" s="34"/>
      <x:c r="F10" s="34"/>
    </x:row>
    <x:row r="11">
      <x:c r="A11" s="34"/>
      <x:c r="B11" s="34"/>
      <x:c r="C11" s="34"/>
      <x:c r="D11" s="34"/>
      <x:c r="E11" s="34"/>
      <x:c r="F11" s="34"/>
    </x:row>
    <x:row r="12">
      <x:c r="A12" s="34"/>
      <x:c r="B12" s="34"/>
      <x:c r="C12" s="34"/>
      <x:c r="D12" s="34"/>
      <x:c r="E12" s="34"/>
      <x:c r="F12" s="34"/>
    </x:row>
  </x:sheetData>
  <x:mergeCells>
    <x:mergeCell ref="A1:F1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5" hidden="0" customWidth="1"/>
    <x:col min="4" max="4" width="18" hidden="0" customWidth="1"/>
    <x:col min="5" max="5" width="12" hidden="0" customWidth="1"/>
  </x:cols>
  <x:sheetData>
    <x:row r="1">
      <x:c r="A1" s="14" t="str">
        <x:v>Order ID</x:v>
      </x:c>
      <x:c r="B1" s="14" t="str">
        <x:v>Restaurant</x:v>
      </x:c>
      <x:c r="C1" s="14" t="str">
        <x:v>City</x:v>
      </x:c>
      <x:c r="D1" s="14" t="str">
        <x:v>Delivery Partner</x:v>
      </x:c>
      <x:c r="E1" s="14" t="str">
        <x:v>Amount</x:v>
      </x:c>
    </x:row>
    <x:row r="2">
      <x:c r="A2" s="38" t="str">
        <x:v>FD0001</x:v>
      </x:c>
      <x:c r="B2" s="61" t="str">
        <x:v>Burger Hub</x:v>
      </x:c>
      <x:c r="C2" s="61" t="str">
        <x:v>Hyderabad</x:v>
      </x:c>
      <x:c r="D2" s="61" t="str">
        <x:v>FastKart</x:v>
      </x:c>
      <x:c r="E2" s="62" t="n">
        <x:v>170</x:v>
      </x:c>
    </x:row>
    <x:row r="3">
      <x:c r="A3" s="40" t="str">
        <x:v>FD0002</x:v>
      </x:c>
      <x:c r="B3" s="63" t="str">
        <x:v>Pizza Plaza</x:v>
      </x:c>
      <x:c r="C3" s="63" t="str">
        <x:v>Ahmedabad</x:v>
      </x:c>
      <x:c r="D3" s="63" t="str">
        <x:v>DashBee</x:v>
      </x:c>
      <x:c r="E3" s="64" t="n">
        <x:v>210</x:v>
      </x:c>
    </x:row>
    <x:row r="4">
      <x:c r="A4" s="40" t="str">
        <x:v>FD0003</x:v>
      </x:c>
      <x:c r="B4" s="63" t="str">
        <x:v>Urban Thali</x:v>
      </x:c>
      <x:c r="C4" s="63" t="str">
        <x:v>Hyderabad</x:v>
      </x:c>
      <x:c r="D4" s="63" t="str">
        <x:v>QuickDrop</x:v>
      </x:c>
      <x:c r="E4" s="64" t="n">
        <x:v>260</x:v>
      </x:c>
    </x:row>
    <x:row r="5">
      <x:c r="A5" s="40" t="str">
        <x:v>FD0004</x:v>
      </x:c>
      <x:c r="B5" s="63" t="str">
        <x:v>Burger Hub</x:v>
      </x:c>
      <x:c r="C5" s="63" t="str">
        <x:v>Ahmedabad</x:v>
      </x:c>
      <x:c r="D5" s="63" t="str">
        <x:v>CityRider</x:v>
      </x:c>
      <x:c r="E5" s="64" t="n">
        <x:v>310</x:v>
      </x:c>
    </x:row>
    <x:row r="6">
      <x:c r="A6" s="40" t="str">
        <x:v>FD0005</x:v>
      </x:c>
      <x:c r="B6" s="63" t="str">
        <x:v>Pizza Plaza</x:v>
      </x:c>
      <x:c r="C6" s="63" t="str">
        <x:v>Hyderabad</x:v>
      </x:c>
      <x:c r="D6" s="63" t="str">
        <x:v>SpeedEats</x:v>
      </x:c>
      <x:c r="E6" s="64" t="n">
        <x:v>360</x:v>
      </x:c>
    </x:row>
    <x:row r="7">
      <x:c r="A7" s="40" t="str">
        <x:v>FD0006</x:v>
      </x:c>
      <x:c r="B7" s="63" t="str">
        <x:v>Urban Thali</x:v>
      </x:c>
      <x:c r="C7" s="63" t="str">
        <x:v>Ahmedabad</x:v>
      </x:c>
      <x:c r="D7" s="63" t="str">
        <x:v>Zippy</x:v>
      </x:c>
      <x:c r="E7" s="64" t="n">
        <x:v>400</x:v>
      </x:c>
    </x:row>
    <x:row r="8">
      <x:c r="A8" s="40" t="str">
        <x:v>FD0007</x:v>
      </x:c>
      <x:c r="B8" s="63" t="str">
        <x:v>Green Bowl</x:v>
      </x:c>
      <x:c r="C8" s="63" t="str">
        <x:v>Mumbai</x:v>
      </x:c>
      <x:c r="D8" s="63" t="str">
        <x:v>FastKart</x:v>
      </x:c>
      <x:c r="E8" s="64" t="n">
        <x:v>450</x:v>
      </x:c>
    </x:row>
    <x:row r="9">
      <x:c r="A9" s="40" t="str">
        <x:v>FD0008</x:v>
      </x:c>
      <x:c r="B9" s="63" t="str">
        <x:v>Pizza Plaza</x:v>
      </x:c>
      <x:c r="C9" s="63" t="str">
        <x:v>Bengaluru</x:v>
      </x:c>
      <x:c r="D9" s="63" t="str">
        <x:v>DashBee</x:v>
      </x:c>
      <x:c r="E9" s="64" t="n">
        <x:v>500</x:v>
      </x:c>
    </x:row>
    <x:row r="10">
      <x:c r="A10" s="40" t="str">
        <x:v>FD0009</x:v>
      </x:c>
      <x:c r="B10" s="63" t="str">
        <x:v>Urban Thali</x:v>
      </x:c>
      <x:c r="C10" s="63" t="str">
        <x:v>Mumbai</x:v>
      </x:c>
      <x:c r="D10" s="63" t="str">
        <x:v>CityRider</x:v>
      </x:c>
      <x:c r="E10" s="64" t="n">
        <x:v>540</x:v>
      </x:c>
    </x:row>
    <x:row r="11">
      <x:c r="A11" s="40" t="str">
        <x:v>FD0010</x:v>
      </x:c>
      <x:c r="B11" s="63" t="str">
        <x:v>Green Bowl</x:v>
      </x:c>
      <x:c r="C11" s="63" t="str">
        <x:v>Bengaluru</x:v>
      </x:c>
      <x:c r="D11" s="63" t="str">
        <x:v>SpeedEats</x:v>
      </x:c>
      <x:c r="E11" s="64" t="n">
        <x:v>590</x:v>
      </x:c>
    </x:row>
    <x:row r="12">
      <x:c r="A12" s="40" t="str">
        <x:v>FD0011</x:v>
      </x:c>
      <x:c r="B12" s="63" t="str">
        <x:v>Tandoori Tales</x:v>
      </x:c>
      <x:c r="C12" s="63" t="str">
        <x:v>Mumbai</x:v>
      </x:c>
      <x:c r="D12" s="63" t="str">
        <x:v>Zippy</x:v>
      </x:c>
      <x:c r="E12" s="64" t="n">
        <x:v>640</x:v>
      </x:c>
    </x:row>
    <x:row r="13">
      <x:c r="A13" s="40" t="str">
        <x:v>FD0012</x:v>
      </x:c>
      <x:c r="B13" s="63" t="str">
        <x:v>Urban Thali</x:v>
      </x:c>
      <x:c r="C13" s="63" t="str">
        <x:v>Bengaluru</x:v>
      </x:c>
      <x:c r="D13" s="63" t="str">
        <x:v>FastKart</x:v>
      </x:c>
      <x:c r="E13" s="64" t="n">
        <x:v>680</x:v>
      </x:c>
    </x:row>
    <x:row r="14">
      <x:c r="A14" s="40" t="str">
        <x:v>FD0013</x:v>
      </x:c>
      <x:c r="B14" s="63" t="str">
        <x:v>Green Bowl</x:v>
      </x:c>
      <x:c r="C14" s="63" t="str">
        <x:v>Mumbai</x:v>
      </x:c>
      <x:c r="D14" s="63" t="str">
        <x:v>DashBee</x:v>
      </x:c>
      <x:c r="E14" s="64" t="n">
        <x:v>730</x:v>
      </x:c>
    </x:row>
    <x:row r="15">
      <x:c r="A15" s="40" t="str">
        <x:v>FD0014</x:v>
      </x:c>
      <x:c r="B15" s="63" t="str">
        <x:v>Tandoori Tales</x:v>
      </x:c>
      <x:c r="C15" s="63" t="str">
        <x:v>Delhi</x:v>
      </x:c>
      <x:c r="D15" s="63" t="str">
        <x:v>QuickDrop</x:v>
      </x:c>
      <x:c r="E15" s="64" t="n">
        <x:v>780</x:v>
      </x:c>
    </x:row>
    <x:row r="16">
      <x:c r="A16" s="40" t="str">
        <x:v>FD0015</x:v>
      </x:c>
      <x:c r="B16" s="63" t="str">
        <x:v>Dosa Corner</x:v>
      </x:c>
      <x:c r="C16" s="63" t="str">
        <x:v>Pune</x:v>
      </x:c>
      <x:c r="D16" s="63" t="str">
        <x:v>CityRider</x:v>
      </x:c>
      <x:c r="E16" s="64" t="n">
        <x:v>140</x:v>
      </x:c>
    </x:row>
    <x:row r="17">
      <x:c r="A17" s="40" t="str">
        <x:v>FD0016</x:v>
      </x:c>
      <x:c r="B17" s="63" t="str">
        <x:v>Green Bowl</x:v>
      </x:c>
      <x:c r="C17" s="63" t="str">
        <x:v>Delhi</x:v>
      </x:c>
      <x:c r="D17" s="63" t="str">
        <x:v>SpeedEats</x:v>
      </x:c>
      <x:c r="E17" s="64" t="n">
        <x:v>190</x:v>
      </x:c>
    </x:row>
    <x:row r="18">
      <x:c r="A18" s="40" t="str">
        <x:v>FD0017</x:v>
      </x:c>
      <x:c r="B18" s="63" t="str">
        <x:v>Tandoori Tales</x:v>
      </x:c>
      <x:c r="C18" s="63" t="str">
        <x:v>Pune</x:v>
      </x:c>
      <x:c r="D18" s="63" t="str">
        <x:v>Zippy</x:v>
      </x:c>
      <x:c r="E18" s="64" t="n">
        <x:v>520</x:v>
      </x:c>
    </x:row>
    <x:row r="19">
      <x:c r="A19" s="40" t="str">
        <x:v>FD0018</x:v>
      </x:c>
      <x:c r="B19" s="63" t="str">
        <x:v>Dosa Corner</x:v>
      </x:c>
      <x:c r="C19" s="63" t="str">
        <x:v>Delhi</x:v>
      </x:c>
      <x:c r="D19" s="63" t="str">
        <x:v>DashBee</x:v>
      </x:c>
      <x:c r="E19" s="64" t="n">
        <x:v>290</x:v>
      </x:c>
    </x:row>
    <x:row r="20">
      <x:c r="A20" s="40" t="str">
        <x:v>FD0019</x:v>
      </x:c>
      <x:c r="B20" s="63" t="str">
        <x:v>Biryani House</x:v>
      </x:c>
      <x:c r="C20" s="63" t="str">
        <x:v>Pune</x:v>
      </x:c>
      <x:c r="D20" s="63" t="str">
        <x:v>QuickDrop</x:v>
      </x:c>
      <x:c r="E20" s="64" t="n">
        <x:v>330</x:v>
      </x:c>
    </x:row>
    <x:row r="21">
      <x:c r="A21" s="40" t="str">
        <x:v>FD0020</x:v>
      </x:c>
      <x:c r="B21" s="63" t="str">
        <x:v>Tandoori Tales</x:v>
      </x:c>
      <x:c r="C21" s="63" t="str">
        <x:v>Delhi</x:v>
      </x:c>
      <x:c r="D21" s="63" t="str">
        <x:v>CityRider</x:v>
      </x:c>
      <x:c r="E21" s="64" t="n">
        <x:v>380</x:v>
      </x:c>
    </x:row>
    <x:row r="22">
      <x:c r="A22" s="40" t="str">
        <x:v>FD0021</x:v>
      </x:c>
      <x:c r="B22" s="63" t="str">
        <x:v>Dosa Corner</x:v>
      </x:c>
      <x:c r="C22" s="63" t="str">
        <x:v>Ahmedabad</x:v>
      </x:c>
      <x:c r="D22" s="63" t="str">
        <x:v>SpeedEats</x:v>
      </x:c>
      <x:c r="E22" s="64" t="n">
        <x:v>430</x:v>
      </x:c>
    </x:row>
    <x:row r="23">
      <x:c r="A23" s="40" t="str">
        <x:v>FD0022</x:v>
      </x:c>
      <x:c r="B23" s="63" t="str">
        <x:v>Biryani House</x:v>
      </x:c>
      <x:c r="C23" s="63" t="str">
        <x:v>Hyderabad</x:v>
      </x:c>
      <x:c r="D23" s="63" t="str">
        <x:v>Zippy</x:v>
      </x:c>
      <x:c r="E23" s="64" t="n">
        <x:v>470</x:v>
      </x:c>
    </x:row>
    <x:row r="24">
      <x:c r="A24" s="40" t="str">
        <x:v>FD0023</x:v>
      </x:c>
      <x:c r="B24" s="63" t="str">
        <x:v>Spice Route</x:v>
      </x:c>
      <x:c r="C24" s="63" t="str">
        <x:v>Ahmedabad</x:v>
      </x:c>
      <x:c r="D24" s="63" t="str">
        <x:v>FastKart</x:v>
      </x:c>
      <x:c r="E24" s="64" t="n">
        <x:v>520</x:v>
      </x:c>
    </x:row>
    <x:row r="25">
      <x:c r="A25" s="40" t="str">
        <x:v>FD0024</x:v>
      </x:c>
      <x:c r="B25" s="63" t="str">
        <x:v>Dosa Corner</x:v>
      </x:c>
      <x:c r="C25" s="63" t="str">
        <x:v>Hyderabad</x:v>
      </x:c>
      <x:c r="D25" s="63" t="str">
        <x:v>DashBee</x:v>
      </x:c>
      <x:c r="E25" s="64" t="n">
        <x:v>570</x:v>
      </x:c>
    </x:row>
    <x:row r="26">
      <x:c r="A26" s="40" t="str">
        <x:v>FD0025</x:v>
      </x:c>
      <x:c r="B26" s="63" t="str">
        <x:v>Biryani House</x:v>
      </x:c>
      <x:c r="C26" s="63" t="str">
        <x:v>Ahmedabad</x:v>
      </x:c>
      <x:c r="D26" s="63" t="str">
        <x:v>QuickDrop</x:v>
      </x:c>
      <x:c r="E26" s="64" t="n">
        <x:v>620</x:v>
      </x:c>
    </x:row>
    <x:row r="27">
      <x:c r="A27" s="40" t="str">
        <x:v>FD0026</x:v>
      </x:c>
      <x:c r="B27" s="63" t="str">
        <x:v>Spice Route</x:v>
      </x:c>
      <x:c r="C27" s="63" t="str">
        <x:v>Hyderabad</x:v>
      </x:c>
      <x:c r="D27" s="63" t="str">
        <x:v>CityRider</x:v>
      </x:c>
      <x:c r="E27" s="64" t="n">
        <x:v>660</x:v>
      </x:c>
    </x:row>
    <x:row r="28">
      <x:c r="A28" s="40" t="str">
        <x:v>FD0027</x:v>
      </x:c>
      <x:c r="B28" s="63" t="str">
        <x:v>Burger Hub</x:v>
      </x:c>
      <x:c r="C28" s="63" t="str">
        <x:v>Ahmedabad</x:v>
      </x:c>
      <x:c r="D28" s="63" t="str">
        <x:v>Zippy</x:v>
      </x:c>
      <x:c r="E28" s="64" t="n">
        <x:v>710</x:v>
      </x:c>
    </x:row>
    <x:row r="29">
      <x:c r="A29" s="40" t="str">
        <x:v>FD0028</x:v>
      </x:c>
      <x:c r="B29" s="63" t="str">
        <x:v>Biryani House</x:v>
      </x:c>
      <x:c r="C29" s="63" t="str">
        <x:v>Mumbai</x:v>
      </x:c>
      <x:c r="D29" s="63" t="str">
        <x:v>FastKart</x:v>
      </x:c>
      <x:c r="E29" s="64" t="n">
        <x:v>760</x:v>
      </x:c>
    </x:row>
    <x:row r="30">
      <x:c r="A30" s="40" t="str">
        <x:v>FD0029</x:v>
      </x:c>
      <x:c r="B30" s="63" t="str">
        <x:v>Spice Route</x:v>
      </x:c>
      <x:c r="C30" s="63" t="str">
        <x:v>Bengaluru</x:v>
      </x:c>
      <x:c r="D30" s="63" t="str">
        <x:v>DashBee</x:v>
      </x:c>
      <x:c r="E30" s="64" t="n">
        <x:v>120</x:v>
      </x:c>
    </x:row>
    <x:row r="31">
      <x:c r="A31" s="40" t="str">
        <x:v>FD0030</x:v>
      </x:c>
      <x:c r="B31" s="63" t="str">
        <x:v>Burger Hub</x:v>
      </x:c>
      <x:c r="C31" s="63" t="str">
        <x:v>Mumbai</x:v>
      </x:c>
      <x:c r="D31" s="63" t="str">
        <x:v>QuickDrop</x:v>
      </x:c>
      <x:c r="E31" s="64" t="n">
        <x:v>170</x:v>
      </x:c>
    </x:row>
    <x:row r="32">
      <x:c r="A32" s="40" t="str">
        <x:v>FD0031</x:v>
      </x:c>
      <x:c r="B32" s="63" t="str">
        <x:v>Pizza Plaza</x:v>
      </x:c>
      <x:c r="C32" s="63" t="str">
        <x:v>Bengaluru</x:v>
      </x:c>
      <x:c r="D32" s="63" t="str">
        <x:v>CityRider</x:v>
      </x:c>
      <x:c r="E32" s="64" t="n">
        <x:v>220</x:v>
      </x:c>
    </x:row>
    <x:row r="33">
      <x:c r="A33" s="40" t="str">
        <x:v>FD0032</x:v>
      </x:c>
      <x:c r="B33" s="63" t="str">
        <x:v>Spice Route</x:v>
      </x:c>
      <x:c r="C33" s="63" t="str">
        <x:v>Mumbai</x:v>
      </x:c>
      <x:c r="D33" s="63" t="str">
        <x:v>SpeedEats</x:v>
      </x:c>
      <x:c r="E33" s="64" t="n">
        <x:v>260</x:v>
      </x:c>
    </x:row>
    <x:row r="34">
      <x:c r="A34" s="40" t="str">
        <x:v>FD0033</x:v>
      </x:c>
      <x:c r="B34" s="63" t="str">
        <x:v>Burger Hub</x:v>
      </x:c>
      <x:c r="C34" s="63" t="str">
        <x:v>Bengaluru</x:v>
      </x:c>
      <x:c r="D34" s="63" t="str">
        <x:v>Zippy</x:v>
      </x:c>
      <x:c r="E34" s="64" t="n">
        <x:v>310</x:v>
      </x:c>
    </x:row>
    <x:row r="35">
      <x:c r="A35" s="40" t="str">
        <x:v>FD0034</x:v>
      </x:c>
      <x:c r="B35" s="63" t="str">
        <x:v>Pizza Plaza</x:v>
      </x:c>
      <x:c r="C35" s="63" t="str">
        <x:v>Mumbai</x:v>
      </x:c>
      <x:c r="D35" s="63" t="str">
        <x:v>FastKart</x:v>
      </x:c>
      <x:c r="E35" s="64" t="n">
        <x:v>640</x:v>
      </x:c>
    </x:row>
    <x:row r="36">
      <x:c r="A36" s="40" t="str">
        <x:v>FD0035</x:v>
      </x:c>
      <x:c r="B36" s="63" t="str">
        <x:v>Urban Thali</x:v>
      </x:c>
      <x:c r="C36" s="63" t="str">
        <x:v>Delhi</x:v>
      </x:c>
      <x:c r="D36" s="63" t="str">
        <x:v>DashBee</x:v>
      </x:c>
      <x:c r="E36" s="64" t="n">
        <x:v>400</x:v>
      </x:c>
    </x:row>
    <x:row r="37">
      <x:c r="A37" s="40" t="str">
        <x:v>FD0036</x:v>
      </x:c>
      <x:c r="B37" s="63" t="str">
        <x:v>Burger Hub</x:v>
      </x:c>
      <x:c r="C37" s="63" t="str">
        <x:v>Pune</x:v>
      </x:c>
      <x:c r="D37" s="63" t="str">
        <x:v>CityRider</x:v>
      </x:c>
      <x:c r="E37" s="64" t="n">
        <x:v>450</x:v>
      </x:c>
    </x:row>
    <x:row r="38">
      <x:c r="A38" s="40" t="str">
        <x:v>FD0037</x:v>
      </x:c>
      <x:c r="B38" s="63" t="str">
        <x:v>Pizza Plaza</x:v>
      </x:c>
      <x:c r="C38" s="63" t="str">
        <x:v>Delhi</x:v>
      </x:c>
      <x:c r="D38" s="63" t="str">
        <x:v>SpeedEats</x:v>
      </x:c>
      <x:c r="E38" s="64" t="n">
        <x:v>500</x:v>
      </x:c>
    </x:row>
    <x:row r="39">
      <x:c r="A39" s="40" t="str">
        <x:v>FD0038</x:v>
      </x:c>
      <x:c r="B39" s="63" t="str">
        <x:v>Urban Thali</x:v>
      </x:c>
      <x:c r="C39" s="63" t="str">
        <x:v>Pune</x:v>
      </x:c>
      <x:c r="D39" s="63" t="str">
        <x:v>Zippy</x:v>
      </x:c>
      <x:c r="E39" s="64" t="n">
        <x:v>550</x:v>
      </x:c>
    </x:row>
    <x:row r="40">
      <x:c r="A40" s="40" t="str">
        <x:v>FD0039</x:v>
      </x:c>
      <x:c r="B40" s="63" t="str">
        <x:v>Green Bowl</x:v>
      </x:c>
      <x:c r="C40" s="63" t="str">
        <x:v>Delhi</x:v>
      </x:c>
      <x:c r="D40" s="63" t="str">
        <x:v>FastKart</x:v>
      </x:c>
      <x:c r="E40" s="64" t="n">
        <x:v>590</x:v>
      </x:c>
    </x:row>
    <x:row r="41">
      <x:c r="A41" s="40" t="str">
        <x:v>FD0040</x:v>
      </x:c>
      <x:c r="B41" s="63" t="str">
        <x:v>Pizza Plaza</x:v>
      </x:c>
      <x:c r="C41" s="63" t="str">
        <x:v>Pune</x:v>
      </x:c>
      <x:c r="D41" s="63" t="str">
        <x:v>DashBee</x:v>
      </x:c>
      <x:c r="E41" s="64" t="n">
        <x:v>640</x:v>
      </x:c>
    </x:row>
    <x:row r="42">
      <x:c r="A42" s="40" t="str">
        <x:v>FD0041</x:v>
      </x:c>
      <x:c r="B42" s="63" t="str">
        <x:v>Urban Thali</x:v>
      </x:c>
      <x:c r="C42" s="63" t="str">
        <x:v>Delhi</x:v>
      </x:c>
      <x:c r="D42" s="63" t="str">
        <x:v>QuickDrop</x:v>
      </x:c>
      <x:c r="E42" s="64" t="n">
        <x:v>690</x:v>
      </x:c>
    </x:row>
    <x:row r="43">
      <x:c r="A43" s="40" t="str">
        <x:v>FD0042</x:v>
      </x:c>
      <x:c r="B43" s="63" t="str">
        <x:v>Green Bowl</x:v>
      </x:c>
      <x:c r="C43" s="63" t="str">
        <x:v>Ahmedabad</x:v>
      </x:c>
      <x:c r="D43" s="63" t="str">
        <x:v>CityRider</x:v>
      </x:c>
      <x:c r="E43" s="64" t="n">
        <x:v>730</x:v>
      </x:c>
    </x:row>
    <x:row r="44">
      <x:c r="A44" s="40" t="str">
        <x:v>FD0043</x:v>
      </x:c>
      <x:c r="B44" s="63" t="str">
        <x:v>Tandoori Tales</x:v>
      </x:c>
      <x:c r="C44" s="63" t="str">
        <x:v>Hyderabad</x:v>
      </x:c>
      <x:c r="D44" s="63" t="str">
        <x:v>SpeedEats</x:v>
      </x:c>
      <x:c r="E44" s="64" t="n">
        <x:v>780</x:v>
      </x:c>
    </x:row>
    <x:row r="45">
      <x:c r="A45" s="40" t="str">
        <x:v>FD0044</x:v>
      </x:c>
      <x:c r="B45" s="63" t="str">
        <x:v>Urban Thali</x:v>
      </x:c>
      <x:c r="C45" s="63" t="str">
        <x:v>Ahmedabad</x:v>
      </x:c>
      <x:c r="D45" s="63" t="str">
        <x:v>Zippy</x:v>
      </x:c>
      <x:c r="E45" s="64" t="n">
        <x:v>150</x:v>
      </x:c>
    </x:row>
    <x:row r="46">
      <x:c r="A46" s="40" t="str">
        <x:v>FD0045</x:v>
      </x:c>
      <x:c r="B46" s="63" t="str">
        <x:v>Green Bowl</x:v>
      </x:c>
      <x:c r="C46" s="63" t="str">
        <x:v>Hyderabad</x:v>
      </x:c>
      <x:c r="D46" s="63" t="str">
        <x:v>DashBee</x:v>
      </x:c>
      <x:c r="E46" s="64" t="n">
        <x:v>200</x:v>
      </x:c>
    </x:row>
    <x:row r="47">
      <x:c r="A47" s="40" t="str">
        <x:v>FD0046</x:v>
      </x:c>
      <x:c r="B47" s="63" t="str">
        <x:v>Tandoori Tales</x:v>
      </x:c>
      <x:c r="C47" s="63" t="str">
        <x:v>Ahmedabad</x:v>
      </x:c>
      <x:c r="D47" s="63" t="str">
        <x:v>QuickDrop</x:v>
      </x:c>
      <x:c r="E47" s="64" t="n">
        <x:v>240</x:v>
      </x:c>
    </x:row>
    <x:row r="48">
      <x:c r="A48" s="40" t="str">
        <x:v>FD0047</x:v>
      </x:c>
      <x:c r="B48" s="63" t="str">
        <x:v>Dosa Corner</x:v>
      </x:c>
      <x:c r="C48" s="63" t="str">
        <x:v>Hyderabad</x:v>
      </x:c>
      <x:c r="D48" s="63" t="str">
        <x:v>CityRider</x:v>
      </x:c>
      <x:c r="E48" s="64" t="n">
        <x:v>290</x:v>
      </x:c>
    </x:row>
    <x:row r="49">
      <x:c r="A49" s="40" t="str">
        <x:v>FD0048</x:v>
      </x:c>
      <x:c r="B49" s="63" t="str">
        <x:v>Green Bowl</x:v>
      </x:c>
      <x:c r="C49" s="63" t="str">
        <x:v>Ahmedabad</x:v>
      </x:c>
      <x:c r="D49" s="63" t="str">
        <x:v>SpeedEats</x:v>
      </x:c>
      <x:c r="E49" s="64" t="n">
        <x:v>340</x:v>
      </x:c>
    </x:row>
    <x:row r="50">
      <x:c r="A50" s="40" t="str">
        <x:v>FD0049</x:v>
      </x:c>
      <x:c r="B50" s="63" t="str">
        <x:v>Tandoori Tales</x:v>
      </x:c>
      <x:c r="C50" s="63" t="str">
        <x:v>Mumbai</x:v>
      </x:c>
      <x:c r="D50" s="63" t="str">
        <x:v>Zippy</x:v>
      </x:c>
      <x:c r="E50" s="64" t="n">
        <x:v>380</x:v>
      </x:c>
    </x:row>
    <x:row r="51">
      <x:c r="A51" s="40" t="str">
        <x:v>FD0050</x:v>
      </x:c>
      <x:c r="B51" s="63" t="str">
        <x:v>Dosa Corner</x:v>
      </x:c>
      <x:c r="C51" s="63" t="str">
        <x:v>Bengaluru</x:v>
      </x:c>
      <x:c r="D51" s="63" t="str">
        <x:v>FastKart</x:v>
      </x:c>
      <x:c r="E51" s="64" t="n">
        <x:v>430</x:v>
      </x:c>
    </x:row>
    <x:row r="52">
      <x:c r="A52" s="40" t="str">
        <x:v>FD0051</x:v>
      </x:c>
      <x:c r="B52" s="63" t="str">
        <x:v>Biryani House</x:v>
      </x:c>
      <x:c r="C52" s="63" t="str">
        <x:v>Mumbai</x:v>
      </x:c>
      <x:c r="D52" s="63" t="str">
        <x:v>DashBee</x:v>
      </x:c>
      <x:c r="E52" s="64" t="n">
        <x:v>760</x:v>
      </x:c>
    </x:row>
    <x:row r="53">
      <x:c r="A53" s="40" t="str">
        <x:v>FD0052</x:v>
      </x:c>
      <x:c r="B53" s="63" t="str">
        <x:v>Tandoori Tales</x:v>
      </x:c>
      <x:c r="C53" s="63" t="str">
        <x:v>Bengaluru</x:v>
      </x:c>
      <x:c r="D53" s="63" t="str">
        <x:v>QuickDrop</x:v>
      </x:c>
      <x:c r="E53" s="64" t="n">
        <x:v>520</x:v>
      </x:c>
    </x:row>
    <x:row r="54">
      <x:c r="A54" s="40" t="str">
        <x:v>FD0053</x:v>
      </x:c>
      <x:c r="B54" s="63" t="str">
        <x:v>Dosa Corner</x:v>
      </x:c>
      <x:c r="C54" s="63" t="str">
        <x:v>Mumbai</x:v>
      </x:c>
      <x:c r="D54" s="63" t="str">
        <x:v>CityRider</x:v>
      </x:c>
      <x:c r="E54" s="64" t="n">
        <x:v>570</x:v>
      </x:c>
    </x:row>
    <x:row r="55">
      <x:c r="A55" s="40" t="str">
        <x:v>FD0054</x:v>
      </x:c>
      <x:c r="B55" s="63" t="str">
        <x:v>Biryani House</x:v>
      </x:c>
      <x:c r="C55" s="63" t="str">
        <x:v>Bengaluru</x:v>
      </x:c>
      <x:c r="D55" s="63" t="str">
        <x:v>Zippy</x:v>
      </x:c>
      <x:c r="E55" s="64" t="n">
        <x:v>620</x:v>
      </x:c>
    </x:row>
    <x:row r="56">
      <x:c r="A56" s="40" t="str">
        <x:v>FD0055</x:v>
      </x:c>
      <x:c r="B56" s="63" t="str">
        <x:v>Spice Route</x:v>
      </x:c>
      <x:c r="C56" s="63" t="str">
        <x:v>Mumbai</x:v>
      </x:c>
      <x:c r="D56" s="63" t="str">
        <x:v>FastKart</x:v>
      </x:c>
      <x:c r="E56" s="64" t="n">
        <x:v>660</x:v>
      </x:c>
    </x:row>
    <x:row r="57">
      <x:c r="A57" s="40" t="str">
        <x:v>FD0056</x:v>
      </x:c>
      <x:c r="B57" s="63" t="str">
        <x:v>Dosa Corner</x:v>
      </x:c>
      <x:c r="C57" s="63" t="str">
        <x:v>Delhi</x:v>
      </x:c>
      <x:c r="D57" s="63" t="str">
        <x:v>DashBee</x:v>
      </x:c>
      <x:c r="E57" s="64" t="n">
        <x:v>710</x:v>
      </x:c>
    </x:row>
    <x:row r="58">
      <x:c r="A58" s="40" t="str">
        <x:v>FD0057</x:v>
      </x:c>
      <x:c r="B58" s="63" t="str">
        <x:v>Biryani House</x:v>
      </x:c>
      <x:c r="C58" s="63" t="str">
        <x:v>Pune</x:v>
      </x:c>
      <x:c r="D58" s="63" t="str">
        <x:v>QuickDrop</x:v>
      </x:c>
      <x:c r="E58" s="64" t="n">
        <x:v>760</x:v>
      </x:c>
    </x:row>
    <x:row r="59">
      <x:c r="A59" s="40" t="str">
        <x:v>FD0058</x:v>
      </x:c>
      <x:c r="B59" s="63" t="str">
        <x:v>Spice Route</x:v>
      </x:c>
      <x:c r="C59" s="63" t="str">
        <x:v>Delhi</x:v>
      </x:c>
      <x:c r="D59" s="63" t="str">
        <x:v>CityRider</x:v>
      </x:c>
      <x:c r="E59" s="64" t="n">
        <x:v>130</x:v>
      </x:c>
    </x:row>
    <x:row r="60">
      <x:c r="A60" s="40" t="str">
        <x:v>FD0059</x:v>
      </x:c>
      <x:c r="B60" s="63" t="str">
        <x:v>Burger Hub</x:v>
      </x:c>
      <x:c r="C60" s="63" t="str">
        <x:v>Pune</x:v>
      </x:c>
      <x:c r="D60" s="63" t="str">
        <x:v>SpeedEats</x:v>
      </x:c>
      <x:c r="E60" s="64" t="n">
        <x:v>170</x:v>
      </x:c>
    </x:row>
    <x:row r="61">
      <x:c r="A61" s="40" t="str">
        <x:v>FD0060</x:v>
      </x:c>
      <x:c r="B61" s="63" t="str">
        <x:v>Biryani House</x:v>
      </x:c>
      <x:c r="C61" s="63" t="str">
        <x:v>Delhi</x:v>
      </x:c>
      <x:c r="D61" s="63" t="str">
        <x:v>Zippy</x:v>
      </x:c>
      <x:c r="E61" s="64" t="n">
        <x:v>220</x:v>
      </x:c>
    </x:row>
    <x:row r="62">
      <x:c r="A62" s="40" t="str">
        <x:v>FD0061</x:v>
      </x:c>
      <x:c r="B62" s="63" t="str">
        <x:v>Spice Route</x:v>
      </x:c>
      <x:c r="C62" s="63" t="str">
        <x:v>Pune</x:v>
      </x:c>
      <x:c r="D62" s="63" t="str">
        <x:v>FastKart</x:v>
      </x:c>
      <x:c r="E62" s="64" t="n">
        <x:v>270</x:v>
      </x:c>
    </x:row>
    <x:row r="63">
      <x:c r="A63" s="40" t="str">
        <x:v>FD0062</x:v>
      </x:c>
      <x:c r="B63" s="63" t="str">
        <x:v>Burger Hub</x:v>
      </x:c>
      <x:c r="C63" s="63" t="str">
        <x:v>Delhi</x:v>
      </x:c>
      <x:c r="D63" s="63" t="str">
        <x:v>DashBee</x:v>
      </x:c>
      <x:c r="E63" s="64" t="n">
        <x:v>310</x:v>
      </x:c>
    </x:row>
    <x:row r="64">
      <x:c r="A64" s="40" t="str">
        <x:v>FD0063</x:v>
      </x:c>
      <x:c r="B64" s="63" t="str">
        <x:v>Pizza Plaza</x:v>
      </x:c>
      <x:c r="C64" s="63" t="str">
        <x:v>Ahmedabad</x:v>
      </x:c>
      <x:c r="D64" s="63" t="str">
        <x:v>CityRider</x:v>
      </x:c>
      <x:c r="E64" s="64" t="n">
        <x:v>360</x:v>
      </x:c>
    </x:row>
    <x:row r="65">
      <x:c r="A65" s="40" t="str">
        <x:v>FD0064</x:v>
      </x:c>
      <x:c r="B65" s="63" t="str">
        <x:v>Spice Route</x:v>
      </x:c>
      <x:c r="C65" s="63" t="str">
        <x:v>Hyderabad</x:v>
      </x:c>
      <x:c r="D65" s="63" t="str">
        <x:v>SpeedEats</x:v>
      </x:c>
      <x:c r="E65" s="64" t="n">
        <x:v>410</x:v>
      </x:c>
    </x:row>
    <x:row r="66">
      <x:c r="A66" s="40" t="str">
        <x:v>FD0065</x:v>
      </x:c>
      <x:c r="B66" s="63" t="str">
        <x:v>Burger Hub</x:v>
      </x:c>
      <x:c r="C66" s="63" t="str">
        <x:v>Ahmedabad</x:v>
      </x:c>
      <x:c r="D66" s="63" t="str">
        <x:v>Zippy</x:v>
      </x:c>
      <x:c r="E66" s="64" t="n">
        <x:v>460</x:v>
      </x:c>
    </x:row>
    <x:row r="67">
      <x:c r="A67" s="40" t="str">
        <x:v>FD0066</x:v>
      </x:c>
      <x:c r="B67" s="63" t="str">
        <x:v>Pizza Plaza</x:v>
      </x:c>
      <x:c r="C67" s="63" t="str">
        <x:v>Hyderabad</x:v>
      </x:c>
      <x:c r="D67" s="63" t="str">
        <x:v>FastKart</x:v>
      </x:c>
      <x:c r="E67" s="64" t="n">
        <x:v>500</x:v>
      </x:c>
    </x:row>
    <x:row r="68">
      <x:c r="A68" s="40" t="str">
        <x:v>FD0067</x:v>
      </x:c>
      <x:c r="B68" s="63" t="str">
        <x:v>Urban Thali</x:v>
      </x:c>
      <x:c r="C68" s="63" t="str">
        <x:v>Ahmedabad</x:v>
      </x:c>
      <x:c r="D68" s="63" t="str">
        <x:v>DashBee</x:v>
      </x:c>
      <x:c r="E68" s="64" t="n">
        <x:v>550</x:v>
      </x:c>
    </x:row>
    <x:row r="69">
      <x:c r="A69" s="40" t="str">
        <x:v>FD0068</x:v>
      </x:c>
      <x:c r="B69" s="63" t="str">
        <x:v>Burger Hub</x:v>
      </x:c>
      <x:c r="C69" s="63" t="str">
        <x:v>Hyderabad</x:v>
      </x:c>
      <x:c r="D69" s="63" t="str">
        <x:v>QuickDrop</x:v>
      </x:c>
      <x:c r="E69" s="64" t="n">
        <x:v>880</x:v>
      </x:c>
    </x:row>
    <x:row r="70">
      <x:c r="A70" s="40" t="str">
        <x:v>FD0069</x:v>
      </x:c>
      <x:c r="B70" s="63" t="str">
        <x:v>Pizza Plaza</x:v>
      </x:c>
      <x:c r="C70" s="63" t="str">
        <x:v>Ahmedabad</x:v>
      </x:c>
      <x:c r="D70" s="63" t="str">
        <x:v>CityRider</x:v>
      </x:c>
      <x:c r="E70" s="64" t="n">
        <x:v>640</x:v>
      </x:c>
    </x:row>
    <x:row r="71">
      <x:c r="A71" s="40" t="str">
        <x:v>FD0070</x:v>
      </x:c>
      <x:c r="B71" s="63" t="str">
        <x:v>Urban Thali</x:v>
      </x:c>
      <x:c r="C71" s="63" t="str">
        <x:v>Mumbai</x:v>
      </x:c>
      <x:c r="D71" s="63" t="str">
        <x:v>SpeedEats</x:v>
      </x:c>
      <x:c r="E71" s="64" t="n">
        <x:v>690</x:v>
      </x:c>
    </x:row>
    <x:row r="72">
      <x:c r="A72" s="40" t="str">
        <x:v>FD0071</x:v>
      </x:c>
      <x:c r="B72" s="63" t="str">
        <x:v>Green Bowl</x:v>
      </x:c>
      <x:c r="C72" s="63" t="str">
        <x:v>Bengaluru</x:v>
      </x:c>
      <x:c r="D72" s="63" t="str">
        <x:v>Zippy</x:v>
      </x:c>
      <x:c r="E72" s="64" t="n">
        <x:v>740</x:v>
      </x:c>
    </x:row>
    <x:row r="73">
      <x:c r="A73" s="42" t="str">
        <x:v>FD0072</x:v>
      </x:c>
      <x:c r="B73" s="65" t="str">
        <x:v>Pizza Plaza</x:v>
      </x:c>
      <x:c r="C73" s="65" t="str">
        <x:v>Mumbai</x:v>
      </x:c>
      <x:c r="D73" s="65" t="str">
        <x:v>DashBee</x:v>
      </x:c>
      <x:c r="E73" s="66" t="n">
        <x:v>780</x:v>
      </x:c>
    </x:row>
  </x:sheetData>
  <x:pageMargins left="0.7" right="0.7" top="0.75" bottom="0.75" header="0.3" footer="0.3"/>
  <x:tableParts count="1">
    <x:tablePart xmlns:r="http://schemas.openxmlformats.org/officeDocument/2006/relationships" r:id="R07e18bf106e741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6" customHeight="1">
      <x:c r="A1" s="5" t="str">
        <x:v>Pivot Table 1 — Total Amount by City</x:v>
      </x:c>
      <x:c r="B1" s="5"/>
      <x:c r="C1" s="5"/>
    </x:row>
    <x:row r="3">
      <x:c r="A3" s="89" t="str">
        <x:v>City</x:v>
      </x:c>
      <x:c r="B3" s="90" t="str">
        <x:v>Sum of Amount</x:v>
      </x:c>
      <x:c r="C3" s="91" t="str">
        <x:v>% of Grand Total</x:v>
      </x:c>
    </x:row>
    <x:row r="4">
      <x:c r="A4" s="22" t="str">
        <x:v>Ahmedabad</x:v>
      </x:c>
      <x:c r="B4" s="81" t="n">
        <x:f>SUMIFS(Raw_Data!$E$2:$E$73,Raw_Data!$C$2:$C$73,A4)</x:f>
        <x:v>6670</x:v>
      </x:c>
      <x:c r="C4" s="92" t="n">
        <x:f>B4/$B$10</x:f>
        <x:v>0.19617647058823529</x:v>
      </x:c>
    </x:row>
    <x:row r="5">
      <x:c r="A5" s="22" t="str">
        <x:v>Bengaluru</x:v>
      </x:c>
      <x:c r="B5" s="81" t="n">
        <x:f>SUMIFS(Raw_Data!$E$2:$E$73,Raw_Data!$C$2:$C$73,A5)</x:f>
        <x:v>4730</x:v>
      </x:c>
      <x:c r="C5" s="92" t="n">
        <x:f>B5/$B$10</x:f>
        <x:v>0.13911764705882354</x:v>
      </x:c>
    </x:row>
    <x:row r="6">
      <x:c r="A6" s="22" t="str">
        <x:v>Delhi</x:v>
      </x:c>
      <x:c r="B6" s="81" t="n">
        <x:f>SUMIFS(Raw_Data!$E$2:$E$73,Raw_Data!$C$2:$C$73,A6)</x:f>
        <x:v>5190</x:v>
      </x:c>
      <x:c r="C6" s="92" t="n">
        <x:f>B6/$B$10</x:f>
        <x:v>0.1526470588235294</x:v>
      </x:c>
    </x:row>
    <x:row r="7">
      <x:c r="A7" s="22" t="str">
        <x:v>Hyderabad</x:v>
      </x:c>
      <x:c r="B7" s="81" t="n">
        <x:f>SUMIFS(Raw_Data!$E$2:$E$73,Raw_Data!$C$2:$C$73,A7)</x:f>
        <x:v>5550</x:v>
      </x:c>
      <x:c r="C7" s="92" t="n">
        <x:f>B7/$B$10</x:f>
        <x:v>0.16323529411764706</x:v>
      </x:c>
    </x:row>
    <x:row r="8">
      <x:c r="A8" s="22" t="str">
        <x:v>Mumbai</x:v>
      </x:c>
      <x:c r="B8" s="81" t="n">
        <x:f>SUMIFS(Raw_Data!$E$2:$E$73,Raw_Data!$C$2:$C$73,A8)</x:f>
        <x:v>8030</x:v>
      </x:c>
      <x:c r="C8" s="92" t="n">
        <x:f>B8/$B$10</x:f>
        <x:v>0.2361764705882353</x:v>
      </x:c>
    </x:row>
    <x:row r="9">
      <x:c r="A9" s="22" t="str">
        <x:v>Pune</x:v>
      </x:c>
      <x:c r="B9" s="81" t="n">
        <x:f>SUMIFS(Raw_Data!$E$2:$E$73,Raw_Data!$C$2:$C$73,A9)</x:f>
        <x:v>3830</x:v>
      </x:c>
      <x:c r="C9" s="92" t="n">
        <x:f>B9/$B$10</x:f>
        <x:v>0.1126470588235294</x:v>
      </x:c>
    </x:row>
    <x:row r="10">
      <x:c r="A10" s="93" t="str">
        <x:v>Grand Total</x:v>
      </x:c>
      <x:c r="B10" s="94" t="n">
        <x:f>SUM(B4:B9)</x:f>
        <x:v>34000</x:v>
      </x:c>
      <x:c r="C10" s="95" t="n">
        <x:f>SUM(C4:C9)</x:f>
        <x:v>1</x:v>
      </x:c>
    </x:row>
  </x:sheetData>
  <x:mergeCells>
    <x:mergeCell ref="A1:C1"/>
  </x:mergeCells>
  <x:conditionalFormatting sqref="B4:B9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{F244EE77-7A60-A634-5E94-1A6AA142B27B}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d72950e7f1c4fd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44EE77-7A60-A634-5E94-1A6AA142B27B}">
            <x14:dataBar gradient="1">
              <x14:cfvo type="min"/>
              <x14:cfvo type="max"/>
              <x14:fillColor rgb="FF5B9BD5"/>
            </x14:dataBar>
          </x14:cfRule>
          <xm:sqref>B4:B9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5" t="str">
        <x:v>Pivot Table 2 — SUM of Amount by Restaurant × City</x:v>
      </x:c>
      <x:c r="B1" s="5"/>
      <x:c r="C1" s="5"/>
      <x:c r="D1" s="5"/>
      <x:c r="E1" s="5"/>
      <x:c r="F1" s="5"/>
      <x:c r="G1" s="5"/>
      <x:c r="H1" s="5"/>
    </x:row>
    <x:row r="3">
      <x:c r="A3" s="89" t="str">
        <x:v>Restaurant</x:v>
      </x:c>
      <x:c r="B3" s="90" t="str">
        <x:v>Ahmedabad</x:v>
      </x:c>
      <x:c r="C3" s="90" t="str">
        <x:v>Bengaluru</x:v>
      </x:c>
      <x:c r="D3" s="90" t="str">
        <x:v>Delhi</x:v>
      </x:c>
      <x:c r="E3" s="90" t="str">
        <x:v>Hyderabad</x:v>
      </x:c>
      <x:c r="F3" s="90" t="str">
        <x:v>Mumbai</x:v>
      </x:c>
      <x:c r="G3" s="90" t="str">
        <x:v>Pune</x:v>
      </x:c>
      <x:c r="H3" s="91" t="str">
        <x:v>Grand Total</x:v>
      </x:c>
    </x:row>
    <x:row r="4">
      <x:c r="A4" s="22" t="str">
        <x:v>Spice Route</x:v>
      </x:c>
      <x:c r="B4" s="81" t="n">
        <x:f>SUMIFS(Raw_Data!$E$2:$E$73,Raw_Data!$B$2:$B$73,$A4,Raw_Data!$C$2:$C$73,B$3)</x:f>
        <x:v>520</x:v>
      </x:c>
      <x:c r="C4" s="81" t="n">
        <x:f>SUMIFS(Raw_Data!$E$2:$E$73,Raw_Data!$B$2:$B$73,$A4,Raw_Data!$C$2:$C$73,C$3)</x:f>
        <x:v>120</x:v>
      </x:c>
      <x:c r="D4" s="81" t="n">
        <x:f>SUMIFS(Raw_Data!$E$2:$E$73,Raw_Data!$B$2:$B$73,$A4,Raw_Data!$C$2:$C$73,D$3)</x:f>
        <x:v>130</x:v>
      </x:c>
      <x:c r="E4" s="81" t="n">
        <x:f>SUMIFS(Raw_Data!$E$2:$E$73,Raw_Data!$B$2:$B$73,$A4,Raw_Data!$C$2:$C$73,E$3)</x:f>
        <x:v>1070</x:v>
      </x:c>
      <x:c r="F4" s="81" t="n">
        <x:f>SUMIFS(Raw_Data!$E$2:$E$73,Raw_Data!$B$2:$B$73,$A4,Raw_Data!$C$2:$C$73,F$3)</x:f>
        <x:v>920</x:v>
      </x:c>
      <x:c r="G4" s="81" t="n">
        <x:f>SUMIFS(Raw_Data!$E$2:$E$73,Raw_Data!$B$2:$B$73,$A4,Raw_Data!$C$2:$C$73,G$3)</x:f>
        <x:v>270</x:v>
      </x:c>
      <x:c r="H4" s="56" t="n">
        <x:f>SUM(B4:G4)</x:f>
        <x:v>3030</x:v>
      </x:c>
    </x:row>
    <x:row r="5">
      <x:c r="A5" s="22" t="str">
        <x:v>Tandoori Tales</x:v>
      </x:c>
      <x:c r="B5" s="81" t="n">
        <x:f>SUMIFS(Raw_Data!$E$2:$E$73,Raw_Data!$B$2:$B$73,$A5,Raw_Data!$C$2:$C$73,B$3)</x:f>
        <x:v>240</x:v>
      </x:c>
      <x:c r="C5" s="81" t="n">
        <x:f>SUMIFS(Raw_Data!$E$2:$E$73,Raw_Data!$B$2:$B$73,$A5,Raw_Data!$C$2:$C$73,C$3)</x:f>
        <x:v>520</x:v>
      </x:c>
      <x:c r="D5" s="81" t="n">
        <x:f>SUMIFS(Raw_Data!$E$2:$E$73,Raw_Data!$B$2:$B$73,$A5,Raw_Data!$C$2:$C$73,D$3)</x:f>
        <x:v>1160</x:v>
      </x:c>
      <x:c r="E5" s="81" t="n">
        <x:f>SUMIFS(Raw_Data!$E$2:$E$73,Raw_Data!$B$2:$B$73,$A5,Raw_Data!$C$2:$C$73,E$3)</x:f>
        <x:v>780</x:v>
      </x:c>
      <x:c r="F5" s="81" t="n">
        <x:f>SUMIFS(Raw_Data!$E$2:$E$73,Raw_Data!$B$2:$B$73,$A5,Raw_Data!$C$2:$C$73,F$3)</x:f>
        <x:v>1020</x:v>
      </x:c>
      <x:c r="G5" s="81" t="n">
        <x:f>SUMIFS(Raw_Data!$E$2:$E$73,Raw_Data!$B$2:$B$73,$A5,Raw_Data!$C$2:$C$73,G$3)</x:f>
        <x:v>520</x:v>
      </x:c>
      <x:c r="H5" s="56" t="n">
        <x:f>SUM(B5:G5)</x:f>
        <x:v>4240</x:v>
      </x:c>
    </x:row>
    <x:row r="6">
      <x:c r="A6" s="22" t="str">
        <x:v>Pizza Plaza</x:v>
      </x:c>
      <x:c r="B6" s="81" t="n">
        <x:f>SUMIFS(Raw_Data!$E$2:$E$73,Raw_Data!$B$2:$B$73,$A6,Raw_Data!$C$2:$C$73,B$3)</x:f>
        <x:v>1210</x:v>
      </x:c>
      <x:c r="C6" s="81" t="n">
        <x:f>SUMIFS(Raw_Data!$E$2:$E$73,Raw_Data!$B$2:$B$73,$A6,Raw_Data!$C$2:$C$73,C$3)</x:f>
        <x:v>720</x:v>
      </x:c>
      <x:c r="D6" s="81" t="n">
        <x:f>SUMIFS(Raw_Data!$E$2:$E$73,Raw_Data!$B$2:$B$73,$A6,Raw_Data!$C$2:$C$73,D$3)</x:f>
        <x:v>500</x:v>
      </x:c>
      <x:c r="E6" s="81" t="n">
        <x:f>SUMIFS(Raw_Data!$E$2:$E$73,Raw_Data!$B$2:$B$73,$A6,Raw_Data!$C$2:$C$73,E$3)</x:f>
        <x:v>860</x:v>
      </x:c>
      <x:c r="F6" s="81" t="n">
        <x:f>SUMIFS(Raw_Data!$E$2:$E$73,Raw_Data!$B$2:$B$73,$A6,Raw_Data!$C$2:$C$73,F$3)</x:f>
        <x:v>1420</x:v>
      </x:c>
      <x:c r="G6" s="81" t="n">
        <x:f>SUMIFS(Raw_Data!$E$2:$E$73,Raw_Data!$B$2:$B$73,$A6,Raw_Data!$C$2:$C$73,G$3)</x:f>
        <x:v>640</x:v>
      </x:c>
      <x:c r="H6" s="56" t="n">
        <x:f>SUM(B6:G6)</x:f>
        <x:v>5350</x:v>
      </x:c>
    </x:row>
    <x:row r="7">
      <x:c r="A7" s="22" t="str">
        <x:v>Biryani House</x:v>
      </x:c>
      <x:c r="B7" s="81" t="n">
        <x:f>SUMIFS(Raw_Data!$E$2:$E$73,Raw_Data!$B$2:$B$73,$A7,Raw_Data!$C$2:$C$73,B$3)</x:f>
        <x:v>620</x:v>
      </x:c>
      <x:c r="C7" s="81" t="n">
        <x:f>SUMIFS(Raw_Data!$E$2:$E$73,Raw_Data!$B$2:$B$73,$A7,Raw_Data!$C$2:$C$73,C$3)</x:f>
        <x:v>620</x:v>
      </x:c>
      <x:c r="D7" s="81" t="n">
        <x:f>SUMIFS(Raw_Data!$E$2:$E$73,Raw_Data!$B$2:$B$73,$A7,Raw_Data!$C$2:$C$73,D$3)</x:f>
        <x:v>220</x:v>
      </x:c>
      <x:c r="E7" s="81" t="n">
        <x:f>SUMIFS(Raw_Data!$E$2:$E$73,Raw_Data!$B$2:$B$73,$A7,Raw_Data!$C$2:$C$73,E$3)</x:f>
        <x:v>470</x:v>
      </x:c>
      <x:c r="F7" s="81" t="n">
        <x:f>SUMIFS(Raw_Data!$E$2:$E$73,Raw_Data!$B$2:$B$73,$A7,Raw_Data!$C$2:$C$73,F$3)</x:f>
        <x:v>1520</x:v>
      </x:c>
      <x:c r="G7" s="81" t="n">
        <x:f>SUMIFS(Raw_Data!$E$2:$E$73,Raw_Data!$B$2:$B$73,$A7,Raw_Data!$C$2:$C$73,G$3)</x:f>
        <x:v>1090</x:v>
      </x:c>
      <x:c r="H7" s="56" t="n">
        <x:f>SUM(B7:G7)</x:f>
        <x:v>4540</x:v>
      </x:c>
    </x:row>
    <x:row r="8">
      <x:c r="A8" s="22" t="str">
        <x:v>Green Bowl</x:v>
      </x:c>
      <x:c r="B8" s="81" t="n">
        <x:f>SUMIFS(Raw_Data!$E$2:$E$73,Raw_Data!$B$2:$B$73,$A8,Raw_Data!$C$2:$C$73,B$3)</x:f>
        <x:v>1070</x:v>
      </x:c>
      <x:c r="C8" s="81" t="n">
        <x:f>SUMIFS(Raw_Data!$E$2:$E$73,Raw_Data!$B$2:$B$73,$A8,Raw_Data!$C$2:$C$73,C$3)</x:f>
        <x:v>1330</x:v>
      </x:c>
      <x:c r="D8" s="81" t="n">
        <x:f>SUMIFS(Raw_Data!$E$2:$E$73,Raw_Data!$B$2:$B$73,$A8,Raw_Data!$C$2:$C$73,D$3)</x:f>
        <x:v>780</x:v>
      </x:c>
      <x:c r="E8" s="81" t="n">
        <x:f>SUMIFS(Raw_Data!$E$2:$E$73,Raw_Data!$B$2:$B$73,$A8,Raw_Data!$C$2:$C$73,E$3)</x:f>
        <x:v>200</x:v>
      </x:c>
      <x:c r="F8" s="81" t="n">
        <x:f>SUMIFS(Raw_Data!$E$2:$E$73,Raw_Data!$B$2:$B$73,$A8,Raw_Data!$C$2:$C$73,F$3)</x:f>
        <x:v>1180</x:v>
      </x:c>
      <x:c r="G8" s="81" t="n">
        <x:f>SUMIFS(Raw_Data!$E$2:$E$73,Raw_Data!$B$2:$B$73,$A8,Raw_Data!$C$2:$C$73,G$3)</x:f>
        <x:v>0</x:v>
      </x:c>
      <x:c r="H8" s="56" t="n">
        <x:f>SUM(B8:G8)</x:f>
        <x:v>4560</x:v>
      </x:c>
    </x:row>
    <x:row r="9">
      <x:c r="A9" s="22" t="str">
        <x:v>Burger Hub</x:v>
      </x:c>
      <x:c r="B9" s="81" t="n">
        <x:f>SUMIFS(Raw_Data!$E$2:$E$73,Raw_Data!$B$2:$B$73,$A9,Raw_Data!$C$2:$C$73,B$3)</x:f>
        <x:v>1480</x:v>
      </x:c>
      <x:c r="C9" s="81" t="n">
        <x:f>SUMIFS(Raw_Data!$E$2:$E$73,Raw_Data!$B$2:$B$73,$A9,Raw_Data!$C$2:$C$73,C$3)</x:f>
        <x:v>310</x:v>
      </x:c>
      <x:c r="D9" s="81" t="n">
        <x:f>SUMIFS(Raw_Data!$E$2:$E$73,Raw_Data!$B$2:$B$73,$A9,Raw_Data!$C$2:$C$73,D$3)</x:f>
        <x:v>310</x:v>
      </x:c>
      <x:c r="E9" s="81" t="n">
        <x:f>SUMIFS(Raw_Data!$E$2:$E$73,Raw_Data!$B$2:$B$73,$A9,Raw_Data!$C$2:$C$73,E$3)</x:f>
        <x:v>1050</x:v>
      </x:c>
      <x:c r="F9" s="81" t="n">
        <x:f>SUMIFS(Raw_Data!$E$2:$E$73,Raw_Data!$B$2:$B$73,$A9,Raw_Data!$C$2:$C$73,F$3)</x:f>
        <x:v>170</x:v>
      </x:c>
      <x:c r="G9" s="81" t="n">
        <x:f>SUMIFS(Raw_Data!$E$2:$E$73,Raw_Data!$B$2:$B$73,$A9,Raw_Data!$C$2:$C$73,G$3)</x:f>
        <x:v>620</x:v>
      </x:c>
      <x:c r="H9" s="56" t="n">
        <x:f>SUM(B9:G9)</x:f>
        <x:v>3940</x:v>
      </x:c>
    </x:row>
    <x:row r="10">
      <x:c r="A10" s="22" t="str">
        <x:v>Dosa Corner</x:v>
      </x:c>
      <x:c r="B10" s="81" t="n">
        <x:f>SUMIFS(Raw_Data!$E$2:$E$73,Raw_Data!$B$2:$B$73,$A10,Raw_Data!$C$2:$C$73,B$3)</x:f>
        <x:v>430</x:v>
      </x:c>
      <x:c r="C10" s="81" t="n">
        <x:f>SUMIFS(Raw_Data!$E$2:$E$73,Raw_Data!$B$2:$B$73,$A10,Raw_Data!$C$2:$C$73,C$3)</x:f>
        <x:v>430</x:v>
      </x:c>
      <x:c r="D10" s="81" t="n">
        <x:f>SUMIFS(Raw_Data!$E$2:$E$73,Raw_Data!$B$2:$B$73,$A10,Raw_Data!$C$2:$C$73,D$3)</x:f>
        <x:v>1000</x:v>
      </x:c>
      <x:c r="E10" s="81" t="n">
        <x:f>SUMIFS(Raw_Data!$E$2:$E$73,Raw_Data!$B$2:$B$73,$A10,Raw_Data!$C$2:$C$73,E$3)</x:f>
        <x:v>860</x:v>
      </x:c>
      <x:c r="F10" s="81" t="n">
        <x:f>SUMIFS(Raw_Data!$E$2:$E$73,Raw_Data!$B$2:$B$73,$A10,Raw_Data!$C$2:$C$73,F$3)</x:f>
        <x:v>570</x:v>
      </x:c>
      <x:c r="G10" s="81" t="n">
        <x:f>SUMIFS(Raw_Data!$E$2:$E$73,Raw_Data!$B$2:$B$73,$A10,Raw_Data!$C$2:$C$73,G$3)</x:f>
        <x:v>140</x:v>
      </x:c>
      <x:c r="H10" s="56" t="n">
        <x:f>SUM(B10:G10)</x:f>
        <x:v>3430</x:v>
      </x:c>
    </x:row>
    <x:row r="11">
      <x:c r="A11" s="22" t="str">
        <x:v>Urban Thali</x:v>
      </x:c>
      <x:c r="B11" s="81" t="n">
        <x:f>SUMIFS(Raw_Data!$E$2:$E$73,Raw_Data!$B$2:$B$73,$A11,Raw_Data!$C$2:$C$73,B$3)</x:f>
        <x:v>1100</x:v>
      </x:c>
      <x:c r="C11" s="81" t="n">
        <x:f>SUMIFS(Raw_Data!$E$2:$E$73,Raw_Data!$B$2:$B$73,$A11,Raw_Data!$C$2:$C$73,C$3)</x:f>
        <x:v>680</x:v>
      </x:c>
      <x:c r="D11" s="81" t="n">
        <x:f>SUMIFS(Raw_Data!$E$2:$E$73,Raw_Data!$B$2:$B$73,$A11,Raw_Data!$C$2:$C$73,D$3)</x:f>
        <x:v>1090</x:v>
      </x:c>
      <x:c r="E11" s="81" t="n">
        <x:f>SUMIFS(Raw_Data!$E$2:$E$73,Raw_Data!$B$2:$B$73,$A11,Raw_Data!$C$2:$C$73,E$3)</x:f>
        <x:v>260</x:v>
      </x:c>
      <x:c r="F11" s="81" t="n">
        <x:f>SUMIFS(Raw_Data!$E$2:$E$73,Raw_Data!$B$2:$B$73,$A11,Raw_Data!$C$2:$C$73,F$3)</x:f>
        <x:v>1230</x:v>
      </x:c>
      <x:c r="G11" s="81" t="n">
        <x:f>SUMIFS(Raw_Data!$E$2:$E$73,Raw_Data!$B$2:$B$73,$A11,Raw_Data!$C$2:$C$73,G$3)</x:f>
        <x:v>550</x:v>
      </x:c>
      <x:c r="H11" s="56" t="n">
        <x:f>SUM(B11:G11)</x:f>
        <x:v>4910</x:v>
      </x:c>
    </x:row>
    <x:row r="12">
      <x:c r="A12" s="93" t="str">
        <x:v>Grand Total</x:v>
      </x:c>
      <x:c r="B12" s="94" t="n">
        <x:f>SUM(B4:B11)</x:f>
        <x:v>6670</x:v>
      </x:c>
      <x:c r="C12" s="94" t="n">
        <x:f>SUM(C4:C11)</x:f>
        <x:v>4730</x:v>
      </x:c>
      <x:c r="D12" s="94" t="n">
        <x:f>SUM(D4:D11)</x:f>
        <x:v>5190</x:v>
      </x:c>
      <x:c r="E12" s="94" t="n">
        <x:f>SUM(E4:E11)</x:f>
        <x:v>5550</x:v>
      </x:c>
      <x:c r="F12" s="94" t="n">
        <x:f>SUM(F4:F11)</x:f>
        <x:v>8030</x:v>
      </x:c>
      <x:c r="G12" s="94" t="n">
        <x:f>SUM(G4:G11)</x:f>
        <x:v>3830</x:v>
      </x:c>
      <x:c r="H12" s="107" t="n">
        <x:f>SUM(H4:H11)</x:f>
        <x:v>34000</x:v>
      </x:c>
    </x:row>
  </x:sheetData>
  <x:mergeCells>
    <x:mergeCell ref="A1:H1"/>
  </x:mergeCells>
  <x:conditionalFormatting sqref="B4:G1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{6189A2EB-F8E3-D55B-0769-AA432B7E847B}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189A2EB-F8E3-D55B-0769-AA432B7E847B}">
            <x14:dataBar gradient="1">
              <x14:cfvo type="min"/>
              <x14:cfvo type="max"/>
              <x14:fillColor rgb="FF5B9BD5"/>
            </x14:dataBar>
          </x14:cfRule>
          <xm:sqref>B4:G11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</x:cols>
  <x:sheetData>
    <x:row r="1" ht="26" customHeight="1">
      <x:c r="A1" s="5" t="str">
        <x:v>Pivot Table 3 — COUNT of Orders by Delivery Partner</x:v>
      </x:c>
      <x:c r="B1" s="5"/>
      <x:c r="C1" s="5"/>
    </x:row>
    <x:row r="3">
      <x:c r="A3" s="89" t="str">
        <x:v>Delivery Partner</x:v>
      </x:c>
      <x:c r="B3" s="90" t="str">
        <x:v>Count of Orders</x:v>
      </x:c>
      <x:c r="C3" s="91" t="str">
        <x:v>% of Total Orders</x:v>
      </x:c>
    </x:row>
    <x:row r="4">
      <x:c r="A4" s="22" t="str">
        <x:v>Zippy</x:v>
      </x:c>
      <x:c r="B4" s="51" t="n">
        <x:f>COUNTIF(Raw_Data!$D$2:$D$73,A4)</x:f>
        <x:v>13</x:v>
      </x:c>
      <x:c r="C4" s="92" t="n">
        <x:f>B4/$B$10</x:f>
        <x:v>0.18055555555555555</x:v>
      </x:c>
    </x:row>
    <x:row r="5">
      <x:c r="A5" s="22" t="str">
        <x:v>FastKart</x:v>
      </x:c>
      <x:c r="B5" s="51" t="n">
        <x:f>COUNTIF(Raw_Data!$D$2:$D$73,A5)</x:f>
        <x:v>11</x:v>
      </x:c>
      <x:c r="C5" s="92" t="n">
        <x:f>B5/$B$10</x:f>
        <x:v>0.1527777777777778</x:v>
      </x:c>
    </x:row>
    <x:row r="6">
      <x:c r="A6" s="22" t="str">
        <x:v>DashBee</x:v>
      </x:c>
      <x:c r="B6" s="51" t="n">
        <x:f>COUNTIF(Raw_Data!$D$2:$D$73,A6)</x:f>
        <x:v>14</x:v>
      </x:c>
      <x:c r="C6" s="92" t="n">
        <x:f>B6/$B$10</x:f>
        <x:v>0.19444444444444445</x:v>
      </x:c>
    </x:row>
    <x:row r="7">
      <x:c r="A7" s="22" t="str">
        <x:v>QuickDrop</x:v>
      </x:c>
      <x:c r="B7" s="51" t="n">
        <x:f>COUNTIF(Raw_Data!$D$2:$D$73,A7)</x:f>
        <x:v>10</x:v>
      </x:c>
      <x:c r="C7" s="92" t="n">
        <x:f>B7/$B$10</x:f>
        <x:v>0.1388888888888889</x:v>
      </x:c>
    </x:row>
    <x:row r="8">
      <x:c r="A8" s="22" t="str">
        <x:v>CityRider</x:v>
      </x:c>
      <x:c r="B8" s="51" t="n">
        <x:f>COUNTIF(Raw_Data!$D$2:$D$73,A8)</x:f>
        <x:v>13</x:v>
      </x:c>
      <x:c r="C8" s="92" t="n">
        <x:f>B8/$B$10</x:f>
        <x:v>0.18055555555555555</x:v>
      </x:c>
    </x:row>
    <x:row r="9">
      <x:c r="A9" s="22" t="str">
        <x:v>SpeedEats</x:v>
      </x:c>
      <x:c r="B9" s="51" t="n">
        <x:f>COUNTIF(Raw_Data!$D$2:$D$73,A9)</x:f>
        <x:v>11</x:v>
      </x:c>
      <x:c r="C9" s="92" t="n">
        <x:f>B9/$B$10</x:f>
        <x:v>0.1527777777777778</x:v>
      </x:c>
    </x:row>
    <x:row r="10">
      <x:c r="A10" s="93" t="str">
        <x:v>Grand Total</x:v>
      </x:c>
      <x:c r="B10" s="103" t="n">
        <x:f>SUM(B4:B9)</x:f>
        <x:v>72</x:v>
      </x:c>
      <x:c r="C10" s="95" t="n">
        <x:f>SUM(C4:C9)</x:f>
        <x:v>1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7ac37465d63c48e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4" hidden="0" customWidth="1"/>
    <x:col min="4" max="4" width="20" hidden="0" customWidth="1"/>
    <x:col min="5" max="5" width="18" hidden="0" customWidth="1"/>
    <x:col min="10" max="10" width="16" hidden="0" customWidth="1"/>
  </x:cols>
  <x:sheetData>
    <x:row r="1" ht="26" customHeight="1">
      <x:c r="A1" s="5" t="str">
        <x:v>Pivot Table 4 — City Filter Analysis</x:v>
      </x:c>
      <x:c r="B1" s="5"/>
      <x:c r="C1" s="5"/>
      <x:c r="D1" s="5"/>
      <x:c r="E1" s="5"/>
      <x:c r="F1" s="5"/>
      <x:c r="G1" s="5"/>
      <x:c r="H1" s="5"/>
      <x:c r="J1" t="str">
        <x:v>Cities</x:v>
      </x:c>
    </x:row>
    <x:row r="2">
      <x:c r="A2" s="76" t="str">
        <x:v>City Filter</x:v>
      </x:c>
      <x:c r="B2" s="111" t="str">
        <x:v>Ahmedabad</x:v>
      </x:c>
      <x:c r="J2" t="str">
        <x:v>Ahmedabad</x:v>
      </x:c>
    </x:row>
    <x:row r="3">
      <x:c r="J3" t="str">
        <x:v>Bengaluru</x:v>
      </x:c>
    </x:row>
    <x:row r="4">
      <x:c r="A4" s="89" t="str">
        <x:v>Restaurant</x:v>
      </x:c>
      <x:c r="B4" s="90" t="str">
        <x:v>Sum of Amount</x:v>
      </x:c>
      <x:c r="C4" s="50"/>
      <x:c r="D4" s="90" t="str">
        <x:v>Delivery Partner</x:v>
      </x:c>
      <x:c r="E4" s="91" t="str">
        <x:v>Count of Orders</x:v>
      </x:c>
      <x:c r="J4" t="str">
        <x:v>Delhi</x:v>
      </x:c>
    </x:row>
    <x:row r="5">
      <x:c r="A5" s="22" t="str">
        <x:v>Spice Route</x:v>
      </x:c>
      <x:c r="B5" s="81" t="n">
        <x:f>SUMIFS(Raw_Data!$E$2:$E$73,Raw_Data!$B$2:$B$73,A5,Raw_Data!$C$2:$C$73,$B$2)</x:f>
        <x:v>520</x:v>
      </x:c>
      <x:c r="C5" s="51"/>
      <x:c r="D5" s="51" t="str">
        <x:v>Zippy</x:v>
      </x:c>
      <x:c r="E5" s="23" t="n">
        <x:f>COUNTIFS(Raw_Data!$D$2:$D$73,D5,Raw_Data!$C$2:$C$73,$B$2)</x:f>
        <x:v>4</x:v>
      </x:c>
      <x:c r="J5" t="str">
        <x:v>Hyderabad</x:v>
      </x:c>
    </x:row>
    <x:row r="6">
      <x:c r="A6" s="22" t="str">
        <x:v>Tandoori Tales</x:v>
      </x:c>
      <x:c r="B6" s="81" t="n">
        <x:f>SUMIFS(Raw_Data!$E$2:$E$73,Raw_Data!$B$2:$B$73,A6,Raw_Data!$C$2:$C$73,$B$2)</x:f>
        <x:v>240</x:v>
      </x:c>
      <x:c r="C6" s="51"/>
      <x:c r="D6" s="51" t="str">
        <x:v>FastKart</x:v>
      </x:c>
      <x:c r="E6" s="23" t="n">
        <x:f>COUNTIFS(Raw_Data!$D$2:$D$73,D6,Raw_Data!$C$2:$C$73,$B$2)</x:f>
        <x:v>1</x:v>
      </x:c>
      <x:c r="J6" t="str">
        <x:v>Mumbai</x:v>
      </x:c>
    </x:row>
    <x:row r="7">
      <x:c r="A7" s="22" t="str">
        <x:v>Pizza Plaza</x:v>
      </x:c>
      <x:c r="B7" s="81" t="n">
        <x:f>SUMIFS(Raw_Data!$E$2:$E$73,Raw_Data!$B$2:$B$73,A7,Raw_Data!$C$2:$C$73,$B$2)</x:f>
        <x:v>1210</x:v>
      </x:c>
      <x:c r="C7" s="51"/>
      <x:c r="D7" s="51" t="str">
        <x:v>DashBee</x:v>
      </x:c>
      <x:c r="E7" s="23" t="n">
        <x:f>COUNTIFS(Raw_Data!$D$2:$D$73,D7,Raw_Data!$C$2:$C$73,$B$2)</x:f>
        <x:v>2</x:v>
      </x:c>
      <x:c r="J7" t="str">
        <x:v>Pune</x:v>
      </x:c>
    </x:row>
    <x:row r="8">
      <x:c r="A8" s="22" t="str">
        <x:v>Biryani House</x:v>
      </x:c>
      <x:c r="B8" s="81" t="n">
        <x:f>SUMIFS(Raw_Data!$E$2:$E$73,Raw_Data!$B$2:$B$73,A8,Raw_Data!$C$2:$C$73,$B$2)</x:f>
        <x:v>620</x:v>
      </x:c>
      <x:c r="C8" s="51"/>
      <x:c r="D8" s="51" t="str">
        <x:v>QuickDrop</x:v>
      </x:c>
      <x:c r="E8" s="23" t="n">
        <x:f>COUNTIFS(Raw_Data!$D$2:$D$73,D8,Raw_Data!$C$2:$C$73,$B$2)</x:f>
        <x:v>2</x:v>
      </x:c>
    </x:row>
    <x:row r="9">
      <x:c r="A9" s="22" t="str">
        <x:v>Green Bowl</x:v>
      </x:c>
      <x:c r="B9" s="81" t="n">
        <x:f>SUMIFS(Raw_Data!$E$2:$E$73,Raw_Data!$B$2:$B$73,A9,Raw_Data!$C$2:$C$73,$B$2)</x:f>
        <x:v>1070</x:v>
      </x:c>
      <x:c r="C9" s="51"/>
      <x:c r="D9" s="51" t="str">
        <x:v>CityRider</x:v>
      </x:c>
      <x:c r="E9" s="23" t="n">
        <x:f>COUNTIFS(Raw_Data!$D$2:$D$73,D9,Raw_Data!$C$2:$C$73,$B$2)</x:f>
        <x:v>4</x:v>
      </x:c>
    </x:row>
    <x:row r="10">
      <x:c r="A10" s="22" t="str">
        <x:v>Burger Hub</x:v>
      </x:c>
      <x:c r="B10" s="81" t="n">
        <x:f>SUMIFS(Raw_Data!$E$2:$E$73,Raw_Data!$B$2:$B$73,A10,Raw_Data!$C$2:$C$73,$B$2)</x:f>
        <x:v>1480</x:v>
      </x:c>
      <x:c r="C10" s="51"/>
      <x:c r="D10" s="51" t="str">
        <x:v>SpeedEats</x:v>
      </x:c>
      <x:c r="E10" s="23" t="n">
        <x:f>COUNTIFS(Raw_Data!$D$2:$D$73,D10,Raw_Data!$C$2:$C$73,$B$2)</x:f>
        <x:v>2</x:v>
      </x:c>
    </x:row>
    <x:row r="11">
      <x:c r="A11" s="22" t="str">
        <x:v>Dosa Corner</x:v>
      </x:c>
      <x:c r="B11" s="81" t="n">
        <x:f>SUMIFS(Raw_Data!$E$2:$E$73,Raw_Data!$B$2:$B$73,A11,Raw_Data!$C$2:$C$73,$B$2)</x:f>
        <x:v>430</x:v>
      </x:c>
      <x:c r="C11" s="51"/>
      <x:c r="D11" s="76" t="str">
        <x:v>Grand Total</x:v>
      </x:c>
      <x:c r="E11" s="115" t="n">
        <x:f>SUM(E5:E10)</x:f>
        <x:v>15</x:v>
      </x:c>
    </x:row>
    <x:row r="12">
      <x:c r="A12" s="22" t="str">
        <x:v>Urban Thali</x:v>
      </x:c>
      <x:c r="B12" s="81" t="n">
        <x:f>SUMIFS(Raw_Data!$E$2:$E$73,Raw_Data!$B$2:$B$73,A12,Raw_Data!$C$2:$C$73,$B$2)</x:f>
        <x:v>1100</x:v>
      </x:c>
      <x:c r="C12" s="51"/>
      <x:c r="D12" s="51"/>
      <x:c r="E12" s="23"/>
    </x:row>
    <x:row r="13">
      <x:c r="A13" s="93" t="str">
        <x:v>Grand Total</x:v>
      </x:c>
      <x:c r="B13" s="94" t="n">
        <x:f>SUM(B5:B12)</x:f>
        <x:v>6670</x:v>
      </x:c>
      <x:c r="C13" s="52"/>
      <x:c r="D13" s="52"/>
      <x:c r="E13" s="25"/>
    </x:row>
    <x:row r="15">
      <x:c r="A15" s="34" t="str">
        <x:v>Filter instruction: Select a city in B2. The restaurant SUM and delivery-partner COUNT summaries recalculate for that city, matching a Pivot Table report filter.</x:v>
      </x:c>
      <x:c r="B15" s="34"/>
      <x:c r="C15" s="34"/>
      <x:c r="D15" s="34"/>
      <x:c r="E15" s="34"/>
      <x:c r="F15" s="34"/>
      <x:c r="G15" s="34"/>
      <x:c r="H15" s="34"/>
    </x:row>
    <x:row r="16">
      <x:c r="A16" s="34"/>
      <x:c r="B16" s="34"/>
      <x:c r="C16" s="34"/>
      <x:c r="D16" s="34"/>
      <x:c r="E16" s="34"/>
      <x:c r="F16" s="34"/>
      <x:c r="G16" s="34"/>
      <x:c r="H16" s="34"/>
    </x:row>
    <x:row r="17">
      <x:c r="A17" s="34"/>
      <x:c r="B17" s="34"/>
      <x:c r="C17" s="34"/>
      <x:c r="D17" s="34"/>
      <x:c r="E17" s="34"/>
      <x:c r="F17" s="34"/>
      <x:c r="G17" s="34"/>
      <x:c r="H17" s="34"/>
    </x:row>
  </x:sheetData>
  <x:mergeCells>
    <x:mergeCell ref="A1:H1"/>
    <x:mergeCell ref="A15:H17"/>
  </x:mergeCells>
  <x:conditionalFormatting sqref="B5:B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{93C3AF7F-1A39-94BE-DDBE-5CB87BA61F21}</x14:id>
        </x:ext>
      </x:extLst>
    </x:cfRule>
  </x:conditionalFormatting>
  <x:dataValidations count="1">
    <x:dataValidation type="list" sqref="B2">
      <x:formula1>Pivot_4_City_Filter!$J$2:$J$7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C3AF7F-1A39-94BE-DDBE-5CB87BA61F21}">
            <x14:dataBar gradient="1">
              <x14:cfvo type="min"/>
              <x14:cfvo type="max"/>
              <x14:fillColor rgb="FF5B9BD5"/>
            </x14:dataBar>
          </x14:cfRule>
          <xm:sqref>B5:B12</xm:sqref>
        </x14:conditionalFormatting>
      </x14:conditionalFormattings>
    </x:ext>
  </x:extLst>
</x:worksheet>
</file>