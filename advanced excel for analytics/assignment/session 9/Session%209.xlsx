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d5eb04f60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1 - VLOOKUP" sheetId="1" r:id="R7374ba225b9943cc"/>
    <x:sheet xmlns:r="http://schemas.openxmlformats.org/officeDocument/2006/relationships" name="Task 2 - HLOOKUP" sheetId="2" r:id="Re98d4b68df0f41f4"/>
    <x:sheet xmlns:r="http://schemas.openxmlformats.org/officeDocument/2006/relationships" name="Task 3 - Approx VLOOKUP" sheetId="3" r:id="R84551a04ab0045da"/>
    <x:sheet xmlns:r="http://schemas.openxmlformats.org/officeDocument/2006/relationships" name="Task 4 - VLOOKUP Limitation" sheetId="4" r:id="R9599c500fa2c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"/>
    <x:numFmt numFmtId="201" formatCode="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B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5d362115f4f0d" /><Relationship Type="http://schemas.openxmlformats.org/officeDocument/2006/relationships/theme" Target="/xl/theme/theme1.xml" Id="R17ab484fa603442c" /><Relationship Type="http://schemas.openxmlformats.org/officeDocument/2006/relationships/sharedStrings" Target="/xl/sharedStrings.xml" Id="R8536fbcde9fd411c" /><Relationship Type="http://schemas.openxmlformats.org/officeDocument/2006/relationships/worksheet" Target="/xl/worksheets/sheet1.xml" Id="R7374ba225b9943cc" /><Relationship Type="http://schemas.openxmlformats.org/officeDocument/2006/relationships/worksheet" Target="/xl/worksheets/sheet2.xml" Id="Re98d4b68df0f41f4" /><Relationship Type="http://schemas.openxmlformats.org/officeDocument/2006/relationships/worksheet" Target="/xl/worksheets/sheet3.xml" Id="R84551a04ab0045da" /><Relationship Type="http://schemas.openxmlformats.org/officeDocument/2006/relationships/worksheet" Target="/xl/worksheets/sheet4.xml" Id="R9599c500fa2c41d8" /></Relationships>
</file>

<file path=xl/tables/table1.xml><?xml version="1.0" encoding="utf-8"?>
<x:table xmlns:x="http://schemas.openxmlformats.org/spreadsheetml/2006/main" id="1" name="FlipkartProducts" displayName="FlipkartProducts" ref="A3:C13" headerRowCount="1" totalsRowCount="0" totalsRowShown="0">
  <x:tableColumns count="3">
    <x:tableColumn id="1" name="Product Name"/>
    <x:tableColumn id="2" name="Price (₹)"/>
    <x:tableColumn id="3" name="Categ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gramUsers" displayName="InstagramUsers" ref="A3:B15" headerRowCount="1" totalsRowCount="0" totalsRowShown="0">
  <x:tableColumns count="2">
    <x:tableColumn id="1" name="Instagram User"/>
    <x:tableColumn id="2" name="Mobile Numb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countedProducts" displayName="DiscountedProducts" ref="A3:C13" headerRowCount="1" totalsRowCount="0" totalsRowShown="0">
  <x:tableColumns count="3">
    <x:tableColumn id="1" name="Discount"/>
    <x:tableColumn id="2" name="Product Name"/>
    <x:tableColumn id="3" name="Price (₹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7ad58093e64e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e937c8b5d948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3769e41e6d463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</x:cols>
  <x:sheetData>
    <x:row r="1">
      <x:c r="A1" s="38" t="str">
        <x:v>Task 1 - Flipkart Product Price Lookup</x:v>
      </x:c>
      <x:c r="B1" s="38"/>
      <x:c r="C1" s="38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4" t="str">
        <x:v>Product Name</x:v>
      </x:c>
      <x:c r="B3" s="14" t="str">
        <x:v>Price (₹)</x:v>
      </x:c>
      <x:c r="C3" s="14" t="str">
        <x:v>Category</x:v>
      </x:c>
      <x:c r="D3" s="39"/>
      <x:c r="E3" s="14" t="str">
        <x:v>Lookup Area</x:v>
      </x:c>
      <x:c r="F3" s="14" t="str">
        <x:v>Value</x:v>
      </x:c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39" t="str">
        <x:v>Apple iPhone 15</x:v>
      </x:c>
      <x:c r="B4" s="44" t="n">
        <x:v>64999</x:v>
      </x:c>
      <x:c r="C4" s="39" t="str">
        <x:v>Mobile</x:v>
      </x:c>
      <x:c r="D4" s="39"/>
      <x:c r="E4" s="39" t="str">
        <x:v>Enter Product Name</x:v>
      </x:c>
      <x:c r="F4" s="39" t="str">
        <x:v>Sony WH-1000XM5</x:v>
      </x:c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39" t="str">
        <x:v>Samsung Galaxy S24</x:v>
      </x:c>
      <x:c r="B5" s="44" t="n">
        <x:v>79999</x:v>
      </x:c>
      <x:c r="C5" s="39" t="str">
        <x:v>Mobile</x:v>
      </x:c>
      <x:c r="D5" s="39"/>
      <x:c r="E5" s="39" t="str">
        <x:v>VLOOKUP Price</x:v>
      </x:c>
      <x:c r="F5" s="39" t="n">
        <x:f>VLOOKUP(F4,$A$4:$C$13,2,FALSE)</x:f>
        <x:v>28999</x:v>
      </x:c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39" t="str">
        <x:v>boAt Airdopes 141</x:v>
      </x:c>
      <x:c r="B6" s="44" t="n">
        <x:v>1299</x:v>
      </x:c>
      <x:c r="C6" s="39" t="str">
        <x:v>Audio</x:v>
      </x:c>
      <x:c r="D6" s="39"/>
      <x:c r="E6" s="39" t="str">
        <x:v>Formula Used</x:v>
      </x:c>
      <x:c r="F6" s="39" t="n">
        <x:f>VLOOKUP(F4,$A$4:$C$13,2,FALSE)</x:f>
        <x:v>28999</x:v>
      </x:c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39" t="str">
        <x:v>Sony WH-1000XM5</x:v>
      </x:c>
      <x:c r="B7" s="44" t="n">
        <x:v>28999</x:v>
      </x:c>
      <x:c r="C7" s="39" t="str">
        <x:v>Audio</x:v>
      </x:c>
      <x:c r="D7" s="39"/>
      <x:c r="E7" s="35" t="str">
        <x:v>Change F4 to any product name from the table to get its price automatically.</x:v>
      </x:c>
      <x:c r="F7" s="35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39" t="str">
        <x:v>HP 15 Laptop</x:v>
      </x:c>
      <x:c r="B8" s="44" t="n">
        <x:v>54990</x:v>
      </x:c>
      <x:c r="C8" s="39" t="str">
        <x:v>Laptop</x:v>
      </x:c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 t="str">
        <x:v>Lenovo IdeaPad Slim 3</x:v>
      </x:c>
      <x:c r="B9" s="44" t="n">
        <x:v>49990</x:v>
      </x:c>
      <x:c r="C9" s="39" t="str">
        <x:v>Laptop</x:v>
      </x:c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 t="str">
        <x:v>Logitech MX Master 3S</x:v>
      </x:c>
      <x:c r="B10" s="44" t="n">
        <x:v>8995</x:v>
      </x:c>
      <x:c r="C10" s="39" t="str">
        <x:v>Accessories</x:v>
      </x:c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 t="str">
        <x:v>AmazonBasics USB-C Cable</x:v>
      </x:c>
      <x:c r="B11" s="44" t="n">
        <x:v>699</x:v>
      </x:c>
      <x:c r="C11" s="39" t="str">
        <x:v>Accessories</x:v>
      </x:c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 t="str">
        <x:v>Canon EOS 1500D</x:v>
      </x:c>
      <x:c r="B12" s="44" t="n">
        <x:v>42999</x:v>
      </x:c>
      <x:c r="C12" s="39" t="str">
        <x:v>Camera</x:v>
      </x:c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 t="str">
        <x:v>Mi 20000mAh Power Bank</x:v>
      </x:c>
      <x:c r="B13" s="44" t="n">
        <x:v>1999</x:v>
      </x:c>
      <x:c r="C13" s="39" t="str">
        <x:v>Power</x:v>
      </x:c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</x:sheetData>
  <x:mergeCells>
    <x:mergeCell ref="A1:C1"/>
    <x:mergeCell ref="E7:F7"/>
  </x:mergeCells>
  <x:pageMargins left="0.7" right="0.7" top="0.75" bottom="0.75" header="0.3" footer="0.3"/>
  <x:tableParts count="1">
    <x:tablePart xmlns:r="http://schemas.openxmlformats.org/officeDocument/2006/relationships" r:id="R857ad58093e64e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8" t="str">
        <x:v>Task 2 - Zomato-Style Dish Rating Lookup</x:v>
      </x:c>
      <x:c r="B1" s="38"/>
      <x:c r="C1" s="38"/>
      <x:c r="D1" s="38"/>
      <x:c r="E1" s="38"/>
      <x:c r="F1" s="38"/>
      <x:c r="G1" s="38"/>
      <x:c r="H1" s="38"/>
      <x:c r="I1" s="38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4" t="str">
        <x:v>Dish</x:v>
      </x:c>
      <x:c r="B3" s="14" t="str">
        <x:v>Paneer Tikka</x:v>
      </x:c>
      <x:c r="C3" s="14" t="str">
        <x:v>Biryani</x:v>
      </x:c>
      <x:c r="D3" s="14" t="str">
        <x:v>Masala Dosa</x:v>
      </x:c>
      <x:c r="E3" s="14" t="str">
        <x:v>Butter Chicken</x:v>
      </x:c>
      <x:c r="F3" s="14" t="str">
        <x:v>Margherita Pizza</x:v>
      </x:c>
      <x:c r="G3" s="14" t="str">
        <x:v>Veg Burger</x:v>
      </x:c>
      <x:c r="H3" s="14" t="str">
        <x:v>Hakka Noodles</x:v>
      </x:c>
      <x:c r="I3" s="14" t="str">
        <x:v>Gulab Jamun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2" t="str">
        <x:v>Rating</x:v>
      </x:c>
      <x:c r="B4" s="42" t="n">
        <x:v>4.5</x:v>
      </x:c>
      <x:c r="C4" s="42" t="n">
        <x:v>4.7</x:v>
      </x:c>
      <x:c r="D4" s="42" t="n">
        <x:v>4.3</x:v>
      </x:c>
      <x:c r="E4" s="42" t="n">
        <x:v>4.6</x:v>
      </x:c>
      <x:c r="F4" s="42" t="n">
        <x:v>4.4</x:v>
      </x:c>
      <x:c r="G4" s="42" t="n">
        <x:v>4.2</x:v>
      </x:c>
      <x:c r="H4" s="42" t="n">
        <x:v>4.1</x:v>
      </x:c>
      <x:c r="I4" s="42" t="n">
        <x:v>4.8</x:v>
      </x:c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14" t="str">
        <x:v>Lookup Area</x:v>
      </x:c>
      <x:c r="B6" s="14" t="str">
        <x:v>Value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39" t="str">
        <x:v>Enter Dish</x:v>
      </x:c>
      <x:c r="B7" s="39" t="str">
        <x:v>Biryani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39" t="str">
        <x:v>HLOOKUP Rating</x:v>
      </x:c>
      <x:c r="B8" s="39" t="n">
        <x:f>HLOOKUP(B7,$A$3:$I$4,2,FALSE)</x:f>
        <x:v>4.7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 t="str">
        <x:v>Formula Used</x:v>
      </x:c>
      <x:c r="B9" s="39" t="n">
        <x:f>HLOOKUP(B7,$A$3:$I$4,2,FALSE)</x:f>
        <x:v>4.7</x:v>
      </x:c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5" t="str">
        <x:v>Change B7 to another dish name from the row to get its rating.</x:v>
      </x:c>
      <x:c r="B10" s="35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</x:sheetData>
  <x:mergeCells>
    <x:mergeCell ref="A1:I1"/>
    <x:mergeCell ref="A10:B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4" max="4" width="24" hidden="0" customWidth="1"/>
    <x:col min="5" max="5" width="42" hidden="0" customWidth="1"/>
  </x:cols>
  <x:sheetData>
    <x:row r="1">
      <x:c r="A1" s="38" t="str">
        <x:v>Task 3 - VLOOKUP Approximate Match (TRUE)</x:v>
      </x:c>
      <x:c r="B1" s="38"/>
      <x:c r="C1" s="38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4" t="str">
        <x:v>Instagram User</x:v>
      </x:c>
      <x:c r="B3" s="14" t="str">
        <x:v>Mobile Number</x:v>
      </x:c>
      <x:c r="C3" s="39"/>
      <x:c r="D3" s="14" t="str">
        <x:v>Test</x:v>
      </x:c>
      <x:c r="E3" s="14" t="str">
        <x:v>Result</x:v>
      </x:c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39" t="str">
        <x:v>Aarav</x:v>
      </x:c>
      <x:c r="B4" s="39" t="str">
        <x:v>9876500001</x:v>
      </x:c>
      <x:c r="C4" s="39"/>
      <x:c r="D4" s="39" t="str">
        <x:v>Exact name: Meera</x:v>
      </x:c>
      <x:c r="E4" s="39" t="n">
        <x:f>VLOOKUP("Meera",$A$4:$B$15,2,TRUE)</x:f>
        <x:v>9876500007</x:v>
      </x:c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39" t="str">
        <x:v>Bhavya</x:v>
      </x:c>
      <x:c r="B5" s="39" t="str">
        <x:v>9876500002</x:v>
      </x:c>
      <x:c r="C5" s="39"/>
      <x:c r="D5" s="39" t="str">
        <x:v>Misspelled: Meers</x:v>
      </x:c>
      <x:c r="E5" s="39" t="n">
        <x:f>VLOOKUP("Meers",$A$4:$B$15,2,TRUE)</x:f>
        <x:v>9876500007</x:v>
      </x:c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39" t="str">
        <x:v>Dhruv</x:v>
      </x:c>
      <x:c r="B6" s="39" t="str">
        <x:v>9876500003</x:v>
      </x:c>
      <x:c r="C6" s="39"/>
      <x:c r="D6" s="39" t="str">
        <x:v>Partial: Mee</x:v>
      </x:c>
      <x:c r="E6" s="39" t="n">
        <x:f>VLOOKUP("Mee",$A$4:$B$15,2,TRUE)</x:f>
        <x:v>9876500006</x:v>
      </x:c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39" t="str">
        <x:v>Isha</x:v>
      </x:c>
      <x:c r="B7" s="39" t="str">
        <x:v>9876500004</x:v>
      </x:c>
      <x:c r="C7" s="39"/>
      <x:c r="D7" s="39" t="str">
        <x:v>Note</x:v>
      </x:c>
      <x:c r="E7" s="39" t="str">
        <x:v>TRUE requires the lookup column to be sorted A→Z.</x:v>
      </x:c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39" t="str">
        <x:v>Jatin</x:v>
      </x:c>
      <x:c r="B8" s="39" t="str">
        <x:v>9876500005</x:v>
      </x:c>
      <x:c r="C8" s="39"/>
      <x:c r="D8" s="35" t="str">
        <x:v>Explanation</x:v>
      </x:c>
      <x:c r="E8" s="35" t="str">
        <x:v>Approximate match does NOT search for a close spelling.</x:v>
      </x:c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 t="str">
        <x:v>Kavya</x:v>
      </x:c>
      <x:c r="B9" s="39" t="str">
        <x:v>9876500006</x:v>
      </x:c>
      <x:c r="C9" s="39"/>
      <x:c r="D9" s="35" t="str">
        <x:v>What happens</x:v>
      </x:c>
      <x:c r="E9" s="35" t="str">
        <x:v>It returns the mobile number for the closest lower alphabetical value.</x:v>
      </x:c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 t="str">
        <x:v>Meera</x:v>
      </x:c>
      <x:c r="B10" s="39" t="str">
        <x:v>9876500007</x:v>
      </x:c>
      <x:c r="C10" s="39"/>
      <x:c r="D10" s="35" t="str">
        <x:v>Why</x:v>
      </x:c>
      <x:c r="E10" s="35" t="str">
        <x:v>TRUE assumes the first column is sorted and finds the nearest match.</x:v>
      </x:c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 t="str">
        <x:v>Neha</x:v>
      </x:c>
      <x:c r="B11" s="39" t="str">
        <x:v>9876500008</x:v>
      </x:c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 t="str">
        <x:v>Riya</x:v>
      </x:c>
      <x:c r="B12" s="39" t="str">
        <x:v>9876500009</x:v>
      </x:c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 t="str">
        <x:v>Tanya</x:v>
      </x:c>
      <x:c r="B13" s="39" t="str">
        <x:v>9876500010</x:v>
      </x:c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 t="str">
        <x:v>Varun</x:v>
      </x:c>
      <x:c r="B14" s="39" t="str">
        <x:v>9876500011</x:v>
      </x:c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 t="str">
        <x:v>Zoya</x:v>
      </x:c>
      <x:c r="B15" s="39" t="str">
        <x:v>9876500012</x:v>
      </x:c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6de937c8b5d948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</x:cols>
  <x:sheetData>
    <x:row r="1">
      <x:c r="A1" s="38" t="str">
        <x:v>Task 4 - VLOOKUP Limitation When Lookup Column Is Not Leftmost</x:v>
      </x:c>
      <x:c r="B1" s="38"/>
      <x:c r="C1" s="38"/>
      <x:c r="D1" s="38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4" t="str">
        <x:v>Discount</x:v>
      </x:c>
      <x:c r="B3" s="14" t="str">
        <x:v>Product Name</x:v>
      </x:c>
      <x:c r="C3" s="14" t="str">
        <x:v>Price (₹)</x:v>
      </x:c>
      <x:c r="D3" s="39"/>
      <x:c r="E3" s="14" t="str">
        <x:v>Attempt</x:v>
      </x:c>
      <x:c r="F3" s="14" t="str">
        <x:v>Result</x:v>
      </x:c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6" t="str">
        <x:v>10%</x:v>
      </x:c>
      <x:c r="B4" s="39" t="str">
        <x:v>Apple iPhone 15</x:v>
      </x:c>
      <x:c r="C4" s="44" t="n">
        <x:v>64999</x:v>
      </x:c>
      <x:c r="D4" s="39"/>
      <x:c r="E4" s="39" t="str">
        <x:v>Product to find</x:v>
      </x:c>
      <x:c r="F4" s="39" t="str">
        <x:v>Sony WH-1000XM5</x:v>
      </x:c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6" t="str">
        <x:v>15%</x:v>
      </x:c>
      <x:c r="B5" s="39" t="str">
        <x:v>Samsung Galaxy S24</x:v>
      </x:c>
      <x:c r="C5" s="44" t="n">
        <x:v>79999</x:v>
      </x:c>
      <x:c r="D5" s="39"/>
      <x:c r="E5" s="39" t="str">
        <x:v>Incorrect VLOOKUP</x:v>
      </x:c>
      <x:c r="F5" s="39" t="e">
        <x:f>VLOOKUP(F4,$A$4:$C$13,3,FALSE)</x:f>
        <x:v>#N/A</x:v>
      </x:c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6" t="str">
        <x:v>5%</x:v>
      </x:c>
      <x:c r="B6" s="39" t="str">
        <x:v>boAt Airdopes 141</x:v>
      </x:c>
      <x:c r="C6" s="44" t="n">
        <x:v>1299</x:v>
      </x:c>
      <x:c r="D6" s="39"/>
      <x:c r="E6" s="35" t="str">
        <x:v>Why it fails</x:v>
      </x:c>
      <x:c r="F6" s="35" t="str">
        <x:v>Product Name is column B, not the leftmost column of A:C.</x:v>
      </x:c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6" t="str">
        <x:v>20%</x:v>
      </x:c>
      <x:c r="B7" s="39" t="str">
        <x:v>Sony WH-1000XM5</x:v>
      </x:c>
      <x:c r="C7" s="44" t="n">
        <x:v>28999</x:v>
      </x:c>
      <x:c r="D7" s="39"/>
      <x:c r="E7" s="35" t="str">
        <x:v>Correct alternative</x:v>
      </x:c>
      <x:c r="F7" s="35" t="str">
        <x:v>Use XLOOKUP or INDEX/MATCH for this layout.</x:v>
      </x:c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6" t="str">
        <x:v>12%</x:v>
      </x:c>
      <x:c r="B8" s="39" t="str">
        <x:v>HP 15 Laptop</x:v>
      </x:c>
      <x:c r="C8" s="44" t="n">
        <x:v>54990</x:v>
      </x:c>
      <x:c r="D8" s="39"/>
      <x:c r="E8" s="35" t="str">
        <x:v>Task observation</x:v>
      </x:c>
      <x:c r="F8" s="35" t="str">
        <x:v>VLOOKUP requires the lookup column to be the first column in the selected range.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6" t="str">
        <x:v>18%</x:v>
      </x:c>
      <x:c r="B9" s="39" t="str">
        <x:v>Lenovo IdeaPad Slim 3</x:v>
      </x:c>
      <x:c r="C9" s="44" t="n">
        <x:v>49990</x:v>
      </x:c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6" t="str">
        <x:v>8%</x:v>
      </x:c>
      <x:c r="B10" s="39" t="str">
        <x:v>Logitech MX Master 3S</x:v>
      </x:c>
      <x:c r="C10" s="44" t="n">
        <x:v>8995</x:v>
      </x:c>
      <x:c r="D10" s="39"/>
      <x:c r="E10" s="14" t="str">
        <x:v>Working alternative</x:v>
      </x:c>
      <x:c r="F10" s="14" t="str">
        <x:v>Result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6" t="str">
        <x:v>5%</x:v>
      </x:c>
      <x:c r="B11" s="39" t="str">
        <x:v>AmazonBasics USB-C Cable</x:v>
      </x:c>
      <x:c r="C11" s="44" t="n">
        <x:v>699</x:v>
      </x:c>
      <x:c r="D11" s="39"/>
      <x:c r="E11" s="39" t="str">
        <x:v>XLOOKUP Price</x:v>
      </x:c>
      <x:c r="F11" s="44" t="n">
        <x:f>XLOOKUP(F4,$B$4:$B$13,$C$4:$C$13)</x:f>
        <x:v>28999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6" t="str">
        <x:v>10%</x:v>
      </x:c>
      <x:c r="B12" s="39" t="str">
        <x:v>Canon EOS 1500D</x:v>
      </x:c>
      <x:c r="C12" s="44" t="n">
        <x:v>42999</x:v>
      </x:c>
      <x:c r="D12" s="39"/>
      <x:c r="E12" s="39" t="str">
        <x:v>Formula</x:v>
      </x:c>
      <x:c r="F12" s="39" t="n">
        <x:f>XLOOKUP(F4,$B$4:$B$13,$C$4:$C$13)</x:f>
        <x:v>28999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6" t="str">
        <x:v>7%</x:v>
      </x:c>
      <x:c r="B13" s="39" t="str">
        <x:v>Mi 20000mAh Power Bank</x:v>
      </x:c>
      <x:c r="C13" s="44" t="n">
        <x:v>1999</x:v>
      </x:c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93769e41e6d463f"/>
  </x:tableParts>
</x:worksheet>
</file>