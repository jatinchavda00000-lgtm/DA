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100904a0e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 Data" sheetId="1" r:id="Rc4de6217954244da"/>
    <x:sheet xmlns:r="http://schemas.openxmlformats.org/officeDocument/2006/relationships" name="Dashboard" sheetId="2" r:id="Rd730ac844fba4898"/>
    <x:sheet xmlns:r="http://schemas.openxmlformats.org/officeDocument/2006/relationships" name="Annual Wins" sheetId="3" r:id="R62247b632ac4409a"/>
    <x:sheet xmlns:r="http://schemas.openxmlformats.org/officeDocument/2006/relationships" name="Lists" sheetId="4" r:id="Rf539d7de49ba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mmm yyyy"/>
    <x:numFmt numFmtId="202" formatCode="dd-mmm-yyyy"/>
    <x:numFmt numFmtId="203" formatCode="0"/>
    <x:numFmt numFmtId="204" formatCode="mmm-yyyy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name val="Carlito"/>
    </x:font>
    <x:font>
      <x:b/>
      <x:sz val="16"/>
      <x:color rgb="FF0F172A"/>
      <x:name val="Carlito"/>
    </x:font>
    <x:font>
      <x:i/>
      <x:sz val="11"/>
      <x:color rgb="FF713F12"/>
      <x:name val="Carlito"/>
    </x:font>
    <x:font>
      <x:b/>
      <x:sz val="18"/>
      <x:color rgb="FFFFFFFF"/>
      <x:name val="Carlito"/>
    </x:font>
    <x:font>
      <x:sz val="11"/>
      <x:color rgb="FF166534"/>
      <x:name val="Carlito"/>
    </x:font>
    <x:font>
      <x:b/>
      <x:sz val="11"/>
      <x:color rgb="FF0F243E"/>
      <x:name val="Carlito"/>
    </x:font>
    <x:font>
      <x:b/>
      <x:i/>
      <x:sz val="11"/>
      <x:color rgb="FF7F6000"/>
      <x:name val="Carlito"/>
    </x:font>
    <x:font>
      <x:b/>
      <x:sz val="11"/>
      <x:color rgb="FF7F6000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1182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1E293B"/>
      </x:patternFill>
    </x:fill>
    <x:fill>
      <x:patternFill patternType="solid">
        <x:fgColor rgb="FFFEF3C7"/>
      </x:patternFill>
    </x:fill>
    <x:fill>
      <x:patternFill patternType="solid">
        <x:fgColor rgb="FFECFDF5"/>
      </x:patternFill>
    </x:fill>
    <x:fill>
      <x:patternFill patternType="solid">
        <x:fgColor rgb="FF1F4E78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E8F1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0" xfId="0" applyNumberFormat="1" applyFont="1" applyFill="1" applyBorder="1"/>
    <x:xf numFmtId="200" fontId="3" fillId="12" borderId="0" xfId="0" applyNumberFormat="1" applyFont="1" applyFill="1" applyBorder="1"/>
    <x:xf numFmtId="202" fontId="3" fillId="12" borderId="0" xfId="0" applyNumberFormat="1" applyFont="1" applyFill="1" applyBorder="1"/>
    <x:xf numFmtId="0" fontId="3" fillId="13" borderId="0" xfId="0" applyNumberFormat="1" applyFont="1" applyFill="1" applyBorder="1"/>
    <x:xf numFmtId="0" fontId="4" fillId="13" borderId="0" xfId="0" applyNumberFormat="1" applyFont="1" applyFill="1" applyBorder="1"/>
    <x:xf numFmtId="203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0" fontId="5" fillId="14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0" fillId="14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202" fontId="3" fillId="12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0"/>
    </x:xf>
    <x:xf numFmtId="202" fontId="3" fillId="12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19b2d2397478c" /><Relationship Type="http://schemas.openxmlformats.org/officeDocument/2006/relationships/theme" Target="/xl/theme/theme1.xml" Id="Re752855b499a4676" /><Relationship Type="http://schemas.openxmlformats.org/officeDocument/2006/relationships/sharedStrings" Target="/xl/sharedStrings.xml" Id="R71bb0ad640a9441e" /><Relationship Type="http://schemas.openxmlformats.org/officeDocument/2006/relationships/worksheet" Target="/xl/worksheets/sheet1.xml" Id="Rc4de6217954244da" /><Relationship Type="http://schemas.openxmlformats.org/officeDocument/2006/relationships/worksheet" Target="/xl/worksheets/sheet2.xml" Id="Rd730ac844fba4898" /><Relationship Type="http://schemas.openxmlformats.org/officeDocument/2006/relationships/worksheet" Target="/xl/worksheets/sheet3.xml" Id="R62247b632ac4409a" /><Relationship Type="http://schemas.openxmlformats.org/officeDocument/2006/relationships/worksheet" Target="/xl/worksheets/sheet4.xml" Id="Rf539d7de49ba4f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94b287346e45a9" /><Relationship Type="http://schemas.openxmlformats.org/officeDocument/2006/relationships/chart" Target="/xl/drawings/charts/chart2.xml" Id="R2a8b512252db46e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ac56c0853d44d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Matches Played and Wins by Team</a:t>
            </a:r>
          </a:p>
        </c:rich>
      </c:tx>
    </c:title>
    <c:plotArea>
      <c:barChart>
        <c:barDir val="bar"/>
        <c:grouping val="clustered"/>
        <c:varyColors val="0"/>
        <c:ser>
          <c:idx val="0"/>
          <c:order val="0"/>
          <c:tx>
            <c:v>Matches Played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Wins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'Dashboard'!$C$11:$C$20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Matches Played Over Time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Matches Played</c:v>
          </c:tx>
          <c:marker>
            <c:symbol val="none"/>
          </c:marker>
          <c:cat>
            <c:strRef>
              <c:f>'Dashboard'!$E$11:$E$13</c:f>
              <c:strCache>
                <c:ptCount val="0"/>
              </c:strCache>
            </c:strRef>
          </c:cat>
          <c:val>
            <c:numRef>
              <c:f>'Dashboard'!$F$11:$F$13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IPL 2024 Wins by Team — Top Performer Highlighted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2024 Wins</c:v>
          </c:tx>
          <c:cat>
            <c:strRef>
              <c:f>'Annual Wins'!$A$4:$A$13</c:f>
              <c:strCache>
                <c:ptCount val="0"/>
              </c:strCache>
            </c:strRef>
          </c:cat>
          <c:val>
            <c:numRef>
              <c:f>'Annual Wins'!$B$4:$B$13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94b287346e45a9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8b512252db46e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56c0853d44d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PLMatchData" displayName="IPLMatchData" ref="A1:I149" headerRowCount="1" totalsRowCount="0" totalsRowShown="0">
  <x:tableColumns count="9">
    <x:tableColumn id="1" name="Match No"/>
    <x:tableColumn id="2" name="Match Date"/>
    <x:tableColumn id="3" name="Season"/>
    <x:tableColumn id="4" name="Venue"/>
    <x:tableColumn id="5" name="Team"/>
    <x:tableColumn id="6" name="Opponent"/>
    <x:tableColumn id="7" name="Winner"/>
    <x:tableColumn id="8" name="Result"/>
    <x:tableColumn id="9" name="Win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b6879bb0eb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9683aff8651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ffd3b33330b4b7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34" hidden="0" customWidth="1"/>
    <x:col min="5" max="5" width="30" hidden="0" customWidth="1"/>
    <x:col min="6" max="6" width="30" hidden="0" customWidth="1"/>
    <x:col min="7" max="7" width="30" hidden="0" customWidth="1"/>
    <x:col min="8" max="8" width="12" hidden="0" customWidth="1"/>
    <x:col min="9" max="9" width="10" hidden="0" customWidth="1"/>
    <x:col min="10" max="10" width="14" hidden="0" customWidth="1"/>
  </x:cols>
  <x:sheetData>
    <x:row r="1">
      <x:c r="A1" s="75" t="str">
        <x:v>Match No</x:v>
      </x:c>
      <x:c r="B1" s="75" t="str">
        <x:v>Match Date</x:v>
      </x:c>
      <x:c r="C1" s="75" t="str">
        <x:v>Season</x:v>
      </x:c>
      <x:c r="D1" s="75" t="str">
        <x:v>Venue</x:v>
      </x:c>
      <x:c r="E1" s="75" t="str">
        <x:v>Team</x:v>
      </x:c>
      <x:c r="F1" s="75" t="str">
        <x:v>Opponent</x:v>
      </x:c>
      <x:c r="G1" s="75" t="str">
        <x:v>Winner</x:v>
      </x:c>
      <x:c r="H1" s="75" t="str">
        <x:v>Result</x:v>
      </x:c>
      <x:c r="I1" s="75" t="str">
        <x:v>Win Flag</x:v>
      </x:c>
      <x:c r="J1" s="75" t="str">
        <x:v>Filter Active</x:v>
      </x:c>
    </x:row>
    <x:row r="2">
      <x:c r="A2" s="17" t="n">
        <x:v>1</x:v>
      </x:c>
      <x:c r="B2" s="80" t="n">
        <x:v>45373</x:v>
      </x:c>
      <x:c r="C2" s="17" t="n">
        <x:v>2024</x:v>
      </x:c>
      <x:c r="D2" s="19" t="str">
        <x:v>MA Chidambaram Stadium</x:v>
      </x:c>
      <x:c r="E2" s="19" t="str">
        <x:v>Chennai Super Kings</x:v>
      </x:c>
      <x:c r="F2" s="19" t="str">
        <x:v>Royal Challengers Bengaluru</x:v>
      </x:c>
      <x:c r="G2" s="19" t="str">
        <x:v>Chennai Super Kings</x:v>
      </x:c>
      <x:c r="H2" s="17" t="str">
        <x:v>Win</x:v>
      </x:c>
      <x:c r="I2" s="81" t="n">
        <x:v>1</x:v>
      </x:c>
      <x:c r="J2" s="83" t="n">
        <x:f>--AND(OR(D2=Dashboard!$B$4,Dashboard!$B$4="All Venues"),B2&gt;=Dashboard!$E$4,B2&lt;=Dashboard!$H$4)</x:f>
        <x:v>1</x:v>
      </x:c>
    </x:row>
    <x:row r="3">
      <x:c r="A3" s="17" t="n">
        <x:v>1</x:v>
      </x:c>
      <x:c r="B3" s="80" t="n">
        <x:v>45373</x:v>
      </x:c>
      <x:c r="C3" s="17" t="n">
        <x:v>2024</x:v>
      </x:c>
      <x:c r="D3" s="19" t="str">
        <x:v>MA Chidambaram Stadium</x:v>
      </x:c>
      <x:c r="E3" s="19" t="str">
        <x:v>Royal Challengers Bengaluru</x:v>
      </x:c>
      <x:c r="F3" s="19" t="str">
        <x:v>Chennai Super Kings</x:v>
      </x:c>
      <x:c r="G3" s="19" t="str">
        <x:v>Chennai Super Kings</x:v>
      </x:c>
      <x:c r="H3" s="17" t="str">
        <x:v>Loss</x:v>
      </x:c>
      <x:c r="I3" s="81" t="n">
        <x:v>0</x:v>
      </x:c>
      <x:c r="J3" s="83" t="n">
        <x:f>--AND(OR(D3=Dashboard!$B$4,Dashboard!$B$4="All Venues"),B3&gt;=Dashboard!$E$4,B3&lt;=Dashboard!$H$4)</x:f>
        <x:v>1</x:v>
      </x:c>
    </x:row>
    <x:row r="4">
      <x:c r="A4" s="17" t="n">
        <x:v>2</x:v>
      </x:c>
      <x:c r="B4" s="80" t="n">
        <x:v>45374</x:v>
      </x:c>
      <x:c r="C4" s="17" t="n">
        <x:v>2024</x:v>
      </x:c>
      <x:c r="D4" s="19" t="str">
        <x:v>PCA New Stadium</x:v>
      </x:c>
      <x:c r="E4" s="19" t="str">
        <x:v>Punjab Kings</x:v>
      </x:c>
      <x:c r="F4" s="19" t="str">
        <x:v>Delhi Capitals</x:v>
      </x:c>
      <x:c r="G4" s="19" t="str">
        <x:v>Punjab Kings</x:v>
      </x:c>
      <x:c r="H4" s="17" t="str">
        <x:v>Win</x:v>
      </x:c>
      <x:c r="I4" s="81" t="n">
        <x:v>1</x:v>
      </x:c>
      <x:c r="J4" s="83" t="n">
        <x:f>--AND(OR(D4=Dashboard!$B$4,Dashboard!$B$4="All Venues"),B4&gt;=Dashboard!$E$4,B4&lt;=Dashboard!$H$4)</x:f>
        <x:v>1</x:v>
      </x:c>
    </x:row>
    <x:row r="5">
      <x:c r="A5" s="17" t="n">
        <x:v>2</x:v>
      </x:c>
      <x:c r="B5" s="80" t="n">
        <x:v>45374</x:v>
      </x:c>
      <x:c r="C5" s="17" t="n">
        <x:v>2024</x:v>
      </x:c>
      <x:c r="D5" s="19" t="str">
        <x:v>PCA New Stadium</x:v>
      </x:c>
      <x:c r="E5" s="19" t="str">
        <x:v>Delhi Capitals</x:v>
      </x:c>
      <x:c r="F5" s="19" t="str">
        <x:v>Punjab Kings</x:v>
      </x:c>
      <x:c r="G5" s="19" t="str">
        <x:v>Punjab Kings</x:v>
      </x:c>
      <x:c r="H5" s="17" t="str">
        <x:v>Loss</x:v>
      </x:c>
      <x:c r="I5" s="81" t="n">
        <x:v>0</x:v>
      </x:c>
      <x:c r="J5" s="83" t="n">
        <x:f>--AND(OR(D5=Dashboard!$B$4,Dashboard!$B$4="All Venues"),B5&gt;=Dashboard!$E$4,B5&lt;=Dashboard!$H$4)</x:f>
        <x:v>1</x:v>
      </x:c>
    </x:row>
    <x:row r="6">
      <x:c r="A6" s="17" t="n">
        <x:v>3</x:v>
      </x:c>
      <x:c r="B6" s="80" t="n">
        <x:v>45374</x:v>
      </x:c>
      <x:c r="C6" s="17" t="n">
        <x:v>2024</x:v>
      </x:c>
      <x:c r="D6" s="19" t="str">
        <x:v>Eden Gardens</x:v>
      </x:c>
      <x:c r="E6" s="19" t="str">
        <x:v>Kolkata Knight Riders</x:v>
      </x:c>
      <x:c r="F6" s="19" t="str">
        <x:v>Sunrisers Hyderabad</x:v>
      </x:c>
      <x:c r="G6" s="19" t="str">
        <x:v>Kolkata Knight Riders</x:v>
      </x:c>
      <x:c r="H6" s="17" t="str">
        <x:v>Win</x:v>
      </x:c>
      <x:c r="I6" s="81" t="n">
        <x:v>1</x:v>
      </x:c>
      <x:c r="J6" s="83" t="n">
        <x:f>--AND(OR(D6=Dashboard!$B$4,Dashboard!$B$4="All Venues"),B6&gt;=Dashboard!$E$4,B6&lt;=Dashboard!$H$4)</x:f>
        <x:v>1</x:v>
      </x:c>
    </x:row>
    <x:row r="7">
      <x:c r="A7" s="17" t="n">
        <x:v>3</x:v>
      </x:c>
      <x:c r="B7" s="80" t="n">
        <x:v>45374</x:v>
      </x:c>
      <x:c r="C7" s="17" t="n">
        <x:v>2024</x:v>
      </x:c>
      <x:c r="D7" s="19" t="str">
        <x:v>Eden Gardens</x:v>
      </x:c>
      <x:c r="E7" s="19" t="str">
        <x:v>Sunrisers Hyderabad</x:v>
      </x:c>
      <x:c r="F7" s="19" t="str">
        <x:v>Kolkata Knight Riders</x:v>
      </x:c>
      <x:c r="G7" s="19" t="str">
        <x:v>Kolkata Knight Riders</x:v>
      </x:c>
      <x:c r="H7" s="17" t="str">
        <x:v>Loss</x:v>
      </x:c>
      <x:c r="I7" s="81" t="n">
        <x:v>0</x:v>
      </x:c>
      <x:c r="J7" s="83" t="n">
        <x:f>--AND(OR(D7=Dashboard!$B$4,Dashboard!$B$4="All Venues"),B7&gt;=Dashboard!$E$4,B7&lt;=Dashboard!$H$4)</x:f>
        <x:v>1</x:v>
      </x:c>
    </x:row>
    <x:row r="8">
      <x:c r="A8" s="17" t="n">
        <x:v>4</x:v>
      </x:c>
      <x:c r="B8" s="80" t="n">
        <x:v>45375</x:v>
      </x:c>
      <x:c r="C8" s="17" t="n">
        <x:v>2024</x:v>
      </x:c>
      <x:c r="D8" s="19" t="str">
        <x:v>Sawai Mansingh Stadium</x:v>
      </x:c>
      <x:c r="E8" s="19" t="str">
        <x:v>Rajasthan Royals</x:v>
      </x:c>
      <x:c r="F8" s="19" t="str">
        <x:v>Lucknow Super Giants</x:v>
      </x:c>
      <x:c r="G8" s="19" t="str">
        <x:v>Rajasthan Royals</x:v>
      </x:c>
      <x:c r="H8" s="17" t="str">
        <x:v>Win</x:v>
      </x:c>
      <x:c r="I8" s="81" t="n">
        <x:v>1</x:v>
      </x:c>
      <x:c r="J8" s="83" t="n">
        <x:f>--AND(OR(D8=Dashboard!$B$4,Dashboard!$B$4="All Venues"),B8&gt;=Dashboard!$E$4,B8&lt;=Dashboard!$H$4)</x:f>
        <x:v>1</x:v>
      </x:c>
    </x:row>
    <x:row r="9">
      <x:c r="A9" s="17" t="n">
        <x:v>4</x:v>
      </x:c>
      <x:c r="B9" s="80" t="n">
        <x:v>45375</x:v>
      </x:c>
      <x:c r="C9" s="17" t="n">
        <x:v>2024</x:v>
      </x:c>
      <x:c r="D9" s="19" t="str">
        <x:v>Sawai Mansingh Stadium</x:v>
      </x:c>
      <x:c r="E9" s="19" t="str">
        <x:v>Lucknow Super Giants</x:v>
      </x:c>
      <x:c r="F9" s="19" t="str">
        <x:v>Rajasthan Royals</x:v>
      </x:c>
      <x:c r="G9" s="19" t="str">
        <x:v>Rajasthan Royals</x:v>
      </x:c>
      <x:c r="H9" s="17" t="str">
        <x:v>Loss</x:v>
      </x:c>
      <x:c r="I9" s="81" t="n">
        <x:v>0</x:v>
      </x:c>
      <x:c r="J9" s="83" t="n">
        <x:f>--AND(OR(D9=Dashboard!$B$4,Dashboard!$B$4="All Venues"),B9&gt;=Dashboard!$E$4,B9&lt;=Dashboard!$H$4)</x:f>
        <x:v>1</x:v>
      </x:c>
    </x:row>
    <x:row r="10">
      <x:c r="A10" s="17" t="n">
        <x:v>5</x:v>
      </x:c>
      <x:c r="B10" s="80" t="n">
        <x:v>45375</x:v>
      </x:c>
      <x:c r="C10" s="17" t="n">
        <x:v>2024</x:v>
      </x:c>
      <x:c r="D10" s="19" t="str">
        <x:v>Narendra Modi Stadium</x:v>
      </x:c>
      <x:c r="E10" s="19" t="str">
        <x:v>Gujarat Titans</x:v>
      </x:c>
      <x:c r="F10" s="19" t="str">
        <x:v>Mumbai Indians</x:v>
      </x:c>
      <x:c r="G10" s="19" t="str">
        <x:v>Gujarat Titans</x:v>
      </x:c>
      <x:c r="H10" s="17" t="str">
        <x:v>Win</x:v>
      </x:c>
      <x:c r="I10" s="81" t="n">
        <x:v>1</x:v>
      </x:c>
      <x:c r="J10" s="83" t="n">
        <x:f>--AND(OR(D10=Dashboard!$B$4,Dashboard!$B$4="All Venues"),B10&gt;=Dashboard!$E$4,B10&lt;=Dashboard!$H$4)</x:f>
        <x:v>1</x:v>
      </x:c>
    </x:row>
    <x:row r="11">
      <x:c r="A11" s="17" t="n">
        <x:v>5</x:v>
      </x:c>
      <x:c r="B11" s="80" t="n">
        <x:v>45375</x:v>
      </x:c>
      <x:c r="C11" s="17" t="n">
        <x:v>2024</x:v>
      </x:c>
      <x:c r="D11" s="19" t="str">
        <x:v>Narendra Modi Stadium</x:v>
      </x:c>
      <x:c r="E11" s="19" t="str">
        <x:v>Mumbai Indians</x:v>
      </x:c>
      <x:c r="F11" s="19" t="str">
        <x:v>Gujarat Titans</x:v>
      </x:c>
      <x:c r="G11" s="19" t="str">
        <x:v>Gujarat Titans</x:v>
      </x:c>
      <x:c r="H11" s="17" t="str">
        <x:v>Loss</x:v>
      </x:c>
      <x:c r="I11" s="81" t="n">
        <x:v>0</x:v>
      </x:c>
      <x:c r="J11" s="83" t="n">
        <x:f>--AND(OR(D11=Dashboard!$B$4,Dashboard!$B$4="All Venues"),B11&gt;=Dashboard!$E$4,B11&lt;=Dashboard!$H$4)</x:f>
        <x:v>1</x:v>
      </x:c>
    </x:row>
    <x:row r="12">
      <x:c r="A12" s="17" t="n">
        <x:v>6</x:v>
      </x:c>
      <x:c r="B12" s="80" t="n">
        <x:v>45376</x:v>
      </x:c>
      <x:c r="C12" s="17" t="n">
        <x:v>2024</x:v>
      </x:c>
      <x:c r="D12" s="19" t="str">
        <x:v>M Chinnaswamy Stadium</x:v>
      </x:c>
      <x:c r="E12" s="19" t="str">
        <x:v>Royal Challengers Bengaluru</x:v>
      </x:c>
      <x:c r="F12" s="19" t="str">
        <x:v>Punjab Kings</x:v>
      </x:c>
      <x:c r="G12" s="19" t="str">
        <x:v>Royal Challengers Bengaluru</x:v>
      </x:c>
      <x:c r="H12" s="17" t="str">
        <x:v>Win</x:v>
      </x:c>
      <x:c r="I12" s="81" t="n">
        <x:v>1</x:v>
      </x:c>
      <x:c r="J12" s="83" t="n">
        <x:f>--AND(OR(D12=Dashboard!$B$4,Dashboard!$B$4="All Venues"),B12&gt;=Dashboard!$E$4,B12&lt;=Dashboard!$H$4)</x:f>
        <x:v>1</x:v>
      </x:c>
    </x:row>
    <x:row r="13">
      <x:c r="A13" s="17" t="n">
        <x:v>6</x:v>
      </x:c>
      <x:c r="B13" s="80" t="n">
        <x:v>45376</x:v>
      </x:c>
      <x:c r="C13" s="17" t="n">
        <x:v>2024</x:v>
      </x:c>
      <x:c r="D13" s="19" t="str">
        <x:v>M Chinnaswamy Stadium</x:v>
      </x:c>
      <x:c r="E13" s="19" t="str">
        <x:v>Punjab Kings</x:v>
      </x:c>
      <x:c r="F13" s="19" t="str">
        <x:v>Royal Challengers Bengaluru</x:v>
      </x:c>
      <x:c r="G13" s="19" t="str">
        <x:v>Royal Challengers Bengaluru</x:v>
      </x:c>
      <x:c r="H13" s="17" t="str">
        <x:v>Loss</x:v>
      </x:c>
      <x:c r="I13" s="81" t="n">
        <x:v>0</x:v>
      </x:c>
      <x:c r="J13" s="83" t="n">
        <x:f>--AND(OR(D13=Dashboard!$B$4,Dashboard!$B$4="All Venues"),B13&gt;=Dashboard!$E$4,B13&lt;=Dashboard!$H$4)</x:f>
        <x:v>1</x:v>
      </x:c>
    </x:row>
    <x:row r="14">
      <x:c r="A14" s="17" t="n">
        <x:v>7</x:v>
      </x:c>
      <x:c r="B14" s="80" t="n">
        <x:v>45377</x:v>
      </x:c>
      <x:c r="C14" s="17" t="n">
        <x:v>2024</x:v>
      </x:c>
      <x:c r="D14" s="19" t="str">
        <x:v>MA Chidambaram Stadium</x:v>
      </x:c>
      <x:c r="E14" s="19" t="str">
        <x:v>Chennai Super Kings</x:v>
      </x:c>
      <x:c r="F14" s="19" t="str">
        <x:v>Gujarat Titans</x:v>
      </x:c>
      <x:c r="G14" s="19" t="str">
        <x:v>Chennai Super Kings</x:v>
      </x:c>
      <x:c r="H14" s="17" t="str">
        <x:v>Win</x:v>
      </x:c>
      <x:c r="I14" s="81" t="n">
        <x:v>1</x:v>
      </x:c>
      <x:c r="J14" s="83" t="n">
        <x:f>--AND(OR(D14=Dashboard!$B$4,Dashboard!$B$4="All Venues"),B14&gt;=Dashboard!$E$4,B14&lt;=Dashboard!$H$4)</x:f>
        <x:v>1</x:v>
      </x:c>
    </x:row>
    <x:row r="15">
      <x:c r="A15" s="17" t="n">
        <x:v>7</x:v>
      </x:c>
      <x:c r="B15" s="80" t="n">
        <x:v>45377</x:v>
      </x:c>
      <x:c r="C15" s="17" t="n">
        <x:v>2024</x:v>
      </x:c>
      <x:c r="D15" s="19" t="str">
        <x:v>MA Chidambaram Stadium</x:v>
      </x:c>
      <x:c r="E15" s="19" t="str">
        <x:v>Gujarat Titans</x:v>
      </x:c>
      <x:c r="F15" s="19" t="str">
        <x:v>Chennai Super Kings</x:v>
      </x:c>
      <x:c r="G15" s="19" t="str">
        <x:v>Chennai Super Kings</x:v>
      </x:c>
      <x:c r="H15" s="17" t="str">
        <x:v>Loss</x:v>
      </x:c>
      <x:c r="I15" s="81" t="n">
        <x:v>0</x:v>
      </x:c>
      <x:c r="J15" s="83" t="n">
        <x:f>--AND(OR(D15=Dashboard!$B$4,Dashboard!$B$4="All Venues"),B15&gt;=Dashboard!$E$4,B15&lt;=Dashboard!$H$4)</x:f>
        <x:v>1</x:v>
      </x:c>
    </x:row>
    <x:row r="16">
      <x:c r="A16" s="17" t="n">
        <x:v>8</x:v>
      </x:c>
      <x:c r="B16" s="80" t="n">
        <x:v>45378</x:v>
      </x:c>
      <x:c r="C16" s="17" t="n">
        <x:v>2024</x:v>
      </x:c>
      <x:c r="D16" s="19" t="str">
        <x:v>Rajiv Gandhi International Stadium</x:v>
      </x:c>
      <x:c r="E16" s="19" t="str">
        <x:v>Sunrisers Hyderabad</x:v>
      </x:c>
      <x:c r="F16" s="19" t="str">
        <x:v>Mumbai Indians</x:v>
      </x:c>
      <x:c r="G16" s="19" t="str">
        <x:v>Sunrisers Hyderabad</x:v>
      </x:c>
      <x:c r="H16" s="17" t="str">
        <x:v>Win</x:v>
      </x:c>
      <x:c r="I16" s="81" t="n">
        <x:v>1</x:v>
      </x:c>
      <x:c r="J16" s="83" t="n">
        <x:f>--AND(OR(D16=Dashboard!$B$4,Dashboard!$B$4="All Venues"),B16&gt;=Dashboard!$E$4,B16&lt;=Dashboard!$H$4)</x:f>
        <x:v>1</x:v>
      </x:c>
    </x:row>
    <x:row r="17">
      <x:c r="A17" s="17" t="n">
        <x:v>8</x:v>
      </x:c>
      <x:c r="B17" s="80" t="n">
        <x:v>45378</x:v>
      </x:c>
      <x:c r="C17" s="17" t="n">
        <x:v>2024</x:v>
      </x:c>
      <x:c r="D17" s="19" t="str">
        <x:v>Rajiv Gandhi International Stadium</x:v>
      </x:c>
      <x:c r="E17" s="19" t="str">
        <x:v>Mumbai Indians</x:v>
      </x:c>
      <x:c r="F17" s="19" t="str">
        <x:v>Sunrisers Hyderabad</x:v>
      </x:c>
      <x:c r="G17" s="19" t="str">
        <x:v>Sunrisers Hyderabad</x:v>
      </x:c>
      <x:c r="H17" s="17" t="str">
        <x:v>Loss</x:v>
      </x:c>
      <x:c r="I17" s="81" t="n">
        <x:v>0</x:v>
      </x:c>
      <x:c r="J17" s="83" t="n">
        <x:f>--AND(OR(D17=Dashboard!$B$4,Dashboard!$B$4="All Venues"),B17&gt;=Dashboard!$E$4,B17&lt;=Dashboard!$H$4)</x:f>
        <x:v>1</x:v>
      </x:c>
    </x:row>
    <x:row r="18">
      <x:c r="A18" s="17" t="n">
        <x:v>9</x:v>
      </x:c>
      <x:c r="B18" s="80" t="n">
        <x:v>45379</x:v>
      </x:c>
      <x:c r="C18" s="17" t="n">
        <x:v>2024</x:v>
      </x:c>
      <x:c r="D18" s="19" t="str">
        <x:v>Sawai Mansingh Stadium</x:v>
      </x:c>
      <x:c r="E18" s="19" t="str">
        <x:v>Rajasthan Royals</x:v>
      </x:c>
      <x:c r="F18" s="19" t="str">
        <x:v>Delhi Capitals</x:v>
      </x:c>
      <x:c r="G18" s="19" t="str">
        <x:v>Rajasthan Royals</x:v>
      </x:c>
      <x:c r="H18" s="17" t="str">
        <x:v>Win</x:v>
      </x:c>
      <x:c r="I18" s="81" t="n">
        <x:v>1</x:v>
      </x:c>
      <x:c r="J18" s="83" t="n">
        <x:f>--AND(OR(D18=Dashboard!$B$4,Dashboard!$B$4="All Venues"),B18&gt;=Dashboard!$E$4,B18&lt;=Dashboard!$H$4)</x:f>
        <x:v>1</x:v>
      </x:c>
    </x:row>
    <x:row r="19">
      <x:c r="A19" s="17" t="n">
        <x:v>9</x:v>
      </x:c>
      <x:c r="B19" s="80" t="n">
        <x:v>45379</x:v>
      </x:c>
      <x:c r="C19" s="17" t="n">
        <x:v>2024</x:v>
      </x:c>
      <x:c r="D19" s="19" t="str">
        <x:v>Sawai Mansingh Stadium</x:v>
      </x:c>
      <x:c r="E19" s="19" t="str">
        <x:v>Delhi Capitals</x:v>
      </x:c>
      <x:c r="F19" s="19" t="str">
        <x:v>Rajasthan Royals</x:v>
      </x:c>
      <x:c r="G19" s="19" t="str">
        <x:v>Rajasthan Royals</x:v>
      </x:c>
      <x:c r="H19" s="17" t="str">
        <x:v>Loss</x:v>
      </x:c>
      <x:c r="I19" s="81" t="n">
        <x:v>0</x:v>
      </x:c>
      <x:c r="J19" s="83" t="n">
        <x:f>--AND(OR(D19=Dashboard!$B$4,Dashboard!$B$4="All Venues"),B19&gt;=Dashboard!$E$4,B19&lt;=Dashboard!$H$4)</x:f>
        <x:v>1</x:v>
      </x:c>
    </x:row>
    <x:row r="20">
      <x:c r="A20" s="17" t="n">
        <x:v>10</x:v>
      </x:c>
      <x:c r="B20" s="80" t="n">
        <x:v>45380</x:v>
      </x:c>
      <x:c r="C20" s="17" t="n">
        <x:v>2024</x:v>
      </x:c>
      <x:c r="D20" s="19" t="str">
        <x:v>M Chinnaswamy Stadium</x:v>
      </x:c>
      <x:c r="E20" s="19" t="str">
        <x:v>Royal Challengers Bengaluru</x:v>
      </x:c>
      <x:c r="F20" s="19" t="str">
        <x:v>Kolkata Knight Riders</x:v>
      </x:c>
      <x:c r="G20" s="19" t="str">
        <x:v>Kolkata Knight Riders</x:v>
      </x:c>
      <x:c r="H20" s="17" t="str">
        <x:v>Loss</x:v>
      </x:c>
      <x:c r="I20" s="81" t="n">
        <x:v>0</x:v>
      </x:c>
      <x:c r="J20" s="83" t="n">
        <x:f>--AND(OR(D20=Dashboard!$B$4,Dashboard!$B$4="All Venues"),B20&gt;=Dashboard!$E$4,B20&lt;=Dashboard!$H$4)</x:f>
        <x:v>1</x:v>
      </x:c>
    </x:row>
    <x:row r="21">
      <x:c r="A21" s="17" t="n">
        <x:v>10</x:v>
      </x:c>
      <x:c r="B21" s="80" t="n">
        <x:v>45380</x:v>
      </x:c>
      <x:c r="C21" s="17" t="n">
        <x:v>2024</x:v>
      </x:c>
      <x:c r="D21" s="19" t="str">
        <x:v>M Chinnaswamy Stadium</x:v>
      </x:c>
      <x:c r="E21" s="19" t="str">
        <x:v>Kolkata Knight Riders</x:v>
      </x:c>
      <x:c r="F21" s="19" t="str">
        <x:v>Royal Challengers Bengaluru</x:v>
      </x:c>
      <x:c r="G21" s="19" t="str">
        <x:v>Kolkata Knight Riders</x:v>
      </x:c>
      <x:c r="H21" s="17" t="str">
        <x:v>Win</x:v>
      </x:c>
      <x:c r="I21" s="81" t="n">
        <x:v>1</x:v>
      </x:c>
      <x:c r="J21" s="83" t="n">
        <x:f>--AND(OR(D21=Dashboard!$B$4,Dashboard!$B$4="All Venues"),B21&gt;=Dashboard!$E$4,B21&lt;=Dashboard!$H$4)</x:f>
        <x:v>1</x:v>
      </x:c>
    </x:row>
    <x:row r="22">
      <x:c r="A22" s="17" t="n">
        <x:v>11</x:v>
      </x:c>
      <x:c r="B22" s="80" t="n">
        <x:v>45381</x:v>
      </x:c>
      <x:c r="C22" s="17" t="n">
        <x:v>2024</x:v>
      </x:c>
      <x:c r="D22" s="19" t="str">
        <x:v>BRSABV Ekana Cricket Stadium</x:v>
      </x:c>
      <x:c r="E22" s="19" t="str">
        <x:v>Lucknow Super Giants</x:v>
      </x:c>
      <x:c r="F22" s="19" t="str">
        <x:v>Punjab Kings</x:v>
      </x:c>
      <x:c r="G22" s="19" t="str">
        <x:v>Lucknow Super Giants</x:v>
      </x:c>
      <x:c r="H22" s="17" t="str">
        <x:v>Win</x:v>
      </x:c>
      <x:c r="I22" s="81" t="n">
        <x:v>1</x:v>
      </x:c>
      <x:c r="J22" s="83" t="n">
        <x:f>--AND(OR(D22=Dashboard!$B$4,Dashboard!$B$4="All Venues"),B22&gt;=Dashboard!$E$4,B22&lt;=Dashboard!$H$4)</x:f>
        <x:v>1</x:v>
      </x:c>
    </x:row>
    <x:row r="23">
      <x:c r="A23" s="17" t="n">
        <x:v>11</x:v>
      </x:c>
      <x:c r="B23" s="80" t="n">
        <x:v>45381</x:v>
      </x:c>
      <x:c r="C23" s="17" t="n">
        <x:v>2024</x:v>
      </x:c>
      <x:c r="D23" s="19" t="str">
        <x:v>BRSABV Ekana Cricket Stadium</x:v>
      </x:c>
      <x:c r="E23" s="19" t="str">
        <x:v>Punjab Kings</x:v>
      </x:c>
      <x:c r="F23" s="19" t="str">
        <x:v>Lucknow Super Giants</x:v>
      </x:c>
      <x:c r="G23" s="19" t="str">
        <x:v>Lucknow Super Giants</x:v>
      </x:c>
      <x:c r="H23" s="17" t="str">
        <x:v>Loss</x:v>
      </x:c>
      <x:c r="I23" s="81" t="n">
        <x:v>0</x:v>
      </x:c>
      <x:c r="J23" s="83" t="n">
        <x:f>--AND(OR(D23=Dashboard!$B$4,Dashboard!$B$4="All Venues"),B23&gt;=Dashboard!$E$4,B23&lt;=Dashboard!$H$4)</x:f>
        <x:v>1</x:v>
      </x:c>
    </x:row>
    <x:row r="24">
      <x:c r="A24" s="17" t="n">
        <x:v>12</x:v>
      </x:c>
      <x:c r="B24" s="80" t="n">
        <x:v>45382</x:v>
      </x:c>
      <x:c r="C24" s="17" t="n">
        <x:v>2024</x:v>
      </x:c>
      <x:c r="D24" s="19" t="str">
        <x:v>Narendra Modi Stadium</x:v>
      </x:c>
      <x:c r="E24" s="19" t="str">
        <x:v>Gujarat Titans</x:v>
      </x:c>
      <x:c r="F24" s="19" t="str">
        <x:v>Sunrisers Hyderabad</x:v>
      </x:c>
      <x:c r="G24" s="19" t="str">
        <x:v>Gujarat Titans</x:v>
      </x:c>
      <x:c r="H24" s="17" t="str">
        <x:v>Win</x:v>
      </x:c>
      <x:c r="I24" s="81" t="n">
        <x:v>1</x:v>
      </x:c>
      <x:c r="J24" s="83" t="n">
        <x:f>--AND(OR(D24=Dashboard!$B$4,Dashboard!$B$4="All Venues"),B24&gt;=Dashboard!$E$4,B24&lt;=Dashboard!$H$4)</x:f>
        <x:v>1</x:v>
      </x:c>
    </x:row>
    <x:row r="25">
      <x:c r="A25" s="17" t="n">
        <x:v>12</x:v>
      </x:c>
      <x:c r="B25" s="80" t="n">
        <x:v>45382</x:v>
      </x:c>
      <x:c r="C25" s="17" t="n">
        <x:v>2024</x:v>
      </x:c>
      <x:c r="D25" s="19" t="str">
        <x:v>Narendra Modi Stadium</x:v>
      </x:c>
      <x:c r="E25" s="19" t="str">
        <x:v>Sunrisers Hyderabad</x:v>
      </x:c>
      <x:c r="F25" s="19" t="str">
        <x:v>Gujarat Titans</x:v>
      </x:c>
      <x:c r="G25" s="19" t="str">
        <x:v>Gujarat Titans</x:v>
      </x:c>
      <x:c r="H25" s="17" t="str">
        <x:v>Loss</x:v>
      </x:c>
      <x:c r="I25" s="81" t="n">
        <x:v>0</x:v>
      </x:c>
      <x:c r="J25" s="83" t="n">
        <x:f>--AND(OR(D25=Dashboard!$B$4,Dashboard!$B$4="All Venues"),B25&gt;=Dashboard!$E$4,B25&lt;=Dashboard!$H$4)</x:f>
        <x:v>1</x:v>
      </x:c>
    </x:row>
    <x:row r="26">
      <x:c r="A26" s="17" t="n">
        <x:v>13</x:v>
      </x:c>
      <x:c r="B26" s="80" t="n">
        <x:v>45382</x:v>
      </x:c>
      <x:c r="C26" s="17" t="n">
        <x:v>2024</x:v>
      </x:c>
      <x:c r="D26" s="19" t="str">
        <x:v>ACA–VDCA Cricket Stadium</x:v>
      </x:c>
      <x:c r="E26" s="19" t="str">
        <x:v>Delhi Capitals</x:v>
      </x:c>
      <x:c r="F26" s="19" t="str">
        <x:v>Chennai Super Kings</x:v>
      </x:c>
      <x:c r="G26" s="19" t="str">
        <x:v>Delhi Capitals</x:v>
      </x:c>
      <x:c r="H26" s="17" t="str">
        <x:v>Win</x:v>
      </x:c>
      <x:c r="I26" s="81" t="n">
        <x:v>1</x:v>
      </x:c>
      <x:c r="J26" s="83" t="n">
        <x:f>--AND(OR(D26=Dashboard!$B$4,Dashboard!$B$4="All Venues"),B26&gt;=Dashboard!$E$4,B26&lt;=Dashboard!$H$4)</x:f>
        <x:v>1</x:v>
      </x:c>
    </x:row>
    <x:row r="27">
      <x:c r="A27" s="17" t="n">
        <x:v>13</x:v>
      </x:c>
      <x:c r="B27" s="80" t="n">
        <x:v>45382</x:v>
      </x:c>
      <x:c r="C27" s="17" t="n">
        <x:v>2024</x:v>
      </x:c>
      <x:c r="D27" s="19" t="str">
        <x:v>ACA–VDCA Cricket Stadium</x:v>
      </x:c>
      <x:c r="E27" s="19" t="str">
        <x:v>Chennai Super Kings</x:v>
      </x:c>
      <x:c r="F27" s="19" t="str">
        <x:v>Delhi Capitals</x:v>
      </x:c>
      <x:c r="G27" s="19" t="str">
        <x:v>Delhi Capitals</x:v>
      </x:c>
      <x:c r="H27" s="17" t="str">
        <x:v>Loss</x:v>
      </x:c>
      <x:c r="I27" s="81" t="n">
        <x:v>0</x:v>
      </x:c>
      <x:c r="J27" s="83" t="n">
        <x:f>--AND(OR(D27=Dashboard!$B$4,Dashboard!$B$4="All Venues"),B27&gt;=Dashboard!$E$4,B27&lt;=Dashboard!$H$4)</x:f>
        <x:v>1</x:v>
      </x:c>
    </x:row>
    <x:row r="28">
      <x:c r="A28" s="17" t="n">
        <x:v>14</x:v>
      </x:c>
      <x:c r="B28" s="80" t="n">
        <x:v>45383</x:v>
      </x:c>
      <x:c r="C28" s="17" t="n">
        <x:v>2024</x:v>
      </x:c>
      <x:c r="D28" s="19" t="str">
        <x:v>Wankhede Stadium</x:v>
      </x:c>
      <x:c r="E28" s="19" t="str">
        <x:v>Mumbai Indians</x:v>
      </x:c>
      <x:c r="F28" s="19" t="str">
        <x:v>Rajasthan Royals</x:v>
      </x:c>
      <x:c r="G28" s="19" t="str">
        <x:v>Rajasthan Royals</x:v>
      </x:c>
      <x:c r="H28" s="17" t="str">
        <x:v>Loss</x:v>
      </x:c>
      <x:c r="I28" s="81" t="n">
        <x:v>0</x:v>
      </x:c>
      <x:c r="J28" s="83" t="n">
        <x:f>--AND(OR(D28=Dashboard!$B$4,Dashboard!$B$4="All Venues"),B28&gt;=Dashboard!$E$4,B28&lt;=Dashboard!$H$4)</x:f>
        <x:v>1</x:v>
      </x:c>
    </x:row>
    <x:row r="29">
      <x:c r="A29" s="17" t="n">
        <x:v>14</x:v>
      </x:c>
      <x:c r="B29" s="80" t="n">
        <x:v>45383</x:v>
      </x:c>
      <x:c r="C29" s="17" t="n">
        <x:v>2024</x:v>
      </x:c>
      <x:c r="D29" s="19" t="str">
        <x:v>Wankhede Stadium</x:v>
      </x:c>
      <x:c r="E29" s="19" t="str">
        <x:v>Rajasthan Royals</x:v>
      </x:c>
      <x:c r="F29" s="19" t="str">
        <x:v>Mumbai Indians</x:v>
      </x:c>
      <x:c r="G29" s="19" t="str">
        <x:v>Rajasthan Royals</x:v>
      </x:c>
      <x:c r="H29" s="17" t="str">
        <x:v>Win</x:v>
      </x:c>
      <x:c r="I29" s="81" t="n">
        <x:v>1</x:v>
      </x:c>
      <x:c r="J29" s="83" t="n">
        <x:f>--AND(OR(D29=Dashboard!$B$4,Dashboard!$B$4="All Venues"),B29&gt;=Dashboard!$E$4,B29&lt;=Dashboard!$H$4)</x:f>
        <x:v>1</x:v>
      </x:c>
    </x:row>
    <x:row r="30">
      <x:c r="A30" s="17" t="n">
        <x:v>15</x:v>
      </x:c>
      <x:c r="B30" s="80" t="n">
        <x:v>45384</x:v>
      </x:c>
      <x:c r="C30" s="17" t="n">
        <x:v>2024</x:v>
      </x:c>
      <x:c r="D30" s="19" t="str">
        <x:v>M Chinnaswamy Stadium</x:v>
      </x:c>
      <x:c r="E30" s="19" t="str">
        <x:v>Royal Challengers Bengaluru</x:v>
      </x:c>
      <x:c r="F30" s="19" t="str">
        <x:v>Lucknow Super Giants</x:v>
      </x:c>
      <x:c r="G30" s="19" t="str">
        <x:v>Lucknow Super Giants</x:v>
      </x:c>
      <x:c r="H30" s="17" t="str">
        <x:v>Loss</x:v>
      </x:c>
      <x:c r="I30" s="81" t="n">
        <x:v>0</x:v>
      </x:c>
      <x:c r="J30" s="83" t="n">
        <x:f>--AND(OR(D30=Dashboard!$B$4,Dashboard!$B$4="All Venues"),B30&gt;=Dashboard!$E$4,B30&lt;=Dashboard!$H$4)</x:f>
        <x:v>1</x:v>
      </x:c>
    </x:row>
    <x:row r="31">
      <x:c r="A31" s="17" t="n">
        <x:v>15</x:v>
      </x:c>
      <x:c r="B31" s="80" t="n">
        <x:v>45384</x:v>
      </x:c>
      <x:c r="C31" s="17" t="n">
        <x:v>2024</x:v>
      </x:c>
      <x:c r="D31" s="19" t="str">
        <x:v>M Chinnaswamy Stadium</x:v>
      </x:c>
      <x:c r="E31" s="19" t="str">
        <x:v>Lucknow Super Giants</x:v>
      </x:c>
      <x:c r="F31" s="19" t="str">
        <x:v>Royal Challengers Bengaluru</x:v>
      </x:c>
      <x:c r="G31" s="19" t="str">
        <x:v>Lucknow Super Giants</x:v>
      </x:c>
      <x:c r="H31" s="17" t="str">
        <x:v>Win</x:v>
      </x:c>
      <x:c r="I31" s="81" t="n">
        <x:v>1</x:v>
      </x:c>
      <x:c r="J31" s="83" t="n">
        <x:f>--AND(OR(D31=Dashboard!$B$4,Dashboard!$B$4="All Venues"),B31&gt;=Dashboard!$E$4,B31&lt;=Dashboard!$H$4)</x:f>
        <x:v>1</x:v>
      </x:c>
    </x:row>
    <x:row r="32">
      <x:c r="A32" s="17" t="n">
        <x:v>16</x:v>
      </x:c>
      <x:c r="B32" s="80" t="n">
        <x:v>45385</x:v>
      </x:c>
      <x:c r="C32" s="17" t="n">
        <x:v>2024</x:v>
      </x:c>
      <x:c r="D32" s="19" t="str">
        <x:v>ACA–VDCA Cricket Stadium</x:v>
      </x:c>
      <x:c r="E32" s="19" t="str">
        <x:v>Delhi Capitals</x:v>
      </x:c>
      <x:c r="F32" s="19" t="str">
        <x:v>Kolkata Knight Riders</x:v>
      </x:c>
      <x:c r="G32" s="19" t="str">
        <x:v>Kolkata Knight Riders</x:v>
      </x:c>
      <x:c r="H32" s="17" t="str">
        <x:v>Loss</x:v>
      </x:c>
      <x:c r="I32" s="81" t="n">
        <x:v>0</x:v>
      </x:c>
      <x:c r="J32" s="83" t="n">
        <x:f>--AND(OR(D32=Dashboard!$B$4,Dashboard!$B$4="All Venues"),B32&gt;=Dashboard!$E$4,B32&lt;=Dashboard!$H$4)</x:f>
        <x:v>1</x:v>
      </x:c>
    </x:row>
    <x:row r="33">
      <x:c r="A33" s="17" t="n">
        <x:v>16</x:v>
      </x:c>
      <x:c r="B33" s="80" t="n">
        <x:v>45385</x:v>
      </x:c>
      <x:c r="C33" s="17" t="n">
        <x:v>2024</x:v>
      </x:c>
      <x:c r="D33" s="19" t="str">
        <x:v>ACA–VDCA Cricket Stadium</x:v>
      </x:c>
      <x:c r="E33" s="19" t="str">
        <x:v>Kolkata Knight Riders</x:v>
      </x:c>
      <x:c r="F33" s="19" t="str">
        <x:v>Delhi Capitals</x:v>
      </x:c>
      <x:c r="G33" s="19" t="str">
        <x:v>Kolkata Knight Riders</x:v>
      </x:c>
      <x:c r="H33" s="17" t="str">
        <x:v>Win</x:v>
      </x:c>
      <x:c r="I33" s="81" t="n">
        <x:v>1</x:v>
      </x:c>
      <x:c r="J33" s="83" t="n">
        <x:f>--AND(OR(D33=Dashboard!$B$4,Dashboard!$B$4="All Venues"),B33&gt;=Dashboard!$E$4,B33&lt;=Dashboard!$H$4)</x:f>
        <x:v>1</x:v>
      </x:c>
    </x:row>
    <x:row r="34">
      <x:c r="A34" s="17" t="n">
        <x:v>17</x:v>
      </x:c>
      <x:c r="B34" s="80" t="n">
        <x:v>45386</x:v>
      </x:c>
      <x:c r="C34" s="17" t="n">
        <x:v>2024</x:v>
      </x:c>
      <x:c r="D34" s="19" t="str">
        <x:v>Narendra Modi Stadium</x:v>
      </x:c>
      <x:c r="E34" s="19" t="str">
        <x:v>Gujarat Titans</x:v>
      </x:c>
      <x:c r="F34" s="19" t="str">
        <x:v>Punjab Kings</x:v>
      </x:c>
      <x:c r="G34" s="19" t="str">
        <x:v>Punjab Kings</x:v>
      </x:c>
      <x:c r="H34" s="17" t="str">
        <x:v>Loss</x:v>
      </x:c>
      <x:c r="I34" s="81" t="n">
        <x:v>0</x:v>
      </x:c>
      <x:c r="J34" s="83" t="n">
        <x:f>--AND(OR(D34=Dashboard!$B$4,Dashboard!$B$4="All Venues"),B34&gt;=Dashboard!$E$4,B34&lt;=Dashboard!$H$4)</x:f>
        <x:v>1</x:v>
      </x:c>
    </x:row>
    <x:row r="35">
      <x:c r="A35" s="17" t="n">
        <x:v>17</x:v>
      </x:c>
      <x:c r="B35" s="80" t="n">
        <x:v>45386</x:v>
      </x:c>
      <x:c r="C35" s="17" t="n">
        <x:v>2024</x:v>
      </x:c>
      <x:c r="D35" s="19" t="str">
        <x:v>Narendra Modi Stadium</x:v>
      </x:c>
      <x:c r="E35" s="19" t="str">
        <x:v>Punjab Kings</x:v>
      </x:c>
      <x:c r="F35" s="19" t="str">
        <x:v>Gujarat Titans</x:v>
      </x:c>
      <x:c r="G35" s="19" t="str">
        <x:v>Punjab Kings</x:v>
      </x:c>
      <x:c r="H35" s="17" t="str">
        <x:v>Win</x:v>
      </x:c>
      <x:c r="I35" s="81" t="n">
        <x:v>1</x:v>
      </x:c>
      <x:c r="J35" s="83" t="n">
        <x:f>--AND(OR(D35=Dashboard!$B$4,Dashboard!$B$4="All Venues"),B35&gt;=Dashboard!$E$4,B35&lt;=Dashboard!$H$4)</x:f>
        <x:v>1</x:v>
      </x:c>
    </x:row>
    <x:row r="36">
      <x:c r="A36" s="17" t="n">
        <x:v>18</x:v>
      </x:c>
      <x:c r="B36" s="80" t="n">
        <x:v>45387</x:v>
      </x:c>
      <x:c r="C36" s="17" t="n">
        <x:v>2024</x:v>
      </x:c>
      <x:c r="D36" s="19" t="str">
        <x:v>Rajiv Gandhi International Stadium</x:v>
      </x:c>
      <x:c r="E36" s="19" t="str">
        <x:v>Sunrisers Hyderabad</x:v>
      </x:c>
      <x:c r="F36" s="19" t="str">
        <x:v>Chennai Super Kings</x:v>
      </x:c>
      <x:c r="G36" s="19" t="str">
        <x:v>Sunrisers Hyderabad</x:v>
      </x:c>
      <x:c r="H36" s="17" t="str">
        <x:v>Win</x:v>
      </x:c>
      <x:c r="I36" s="81" t="n">
        <x:v>1</x:v>
      </x:c>
      <x:c r="J36" s="83" t="n">
        <x:f>--AND(OR(D36=Dashboard!$B$4,Dashboard!$B$4="All Venues"),B36&gt;=Dashboard!$E$4,B36&lt;=Dashboard!$H$4)</x:f>
        <x:v>1</x:v>
      </x:c>
    </x:row>
    <x:row r="37">
      <x:c r="A37" s="17" t="n">
        <x:v>18</x:v>
      </x:c>
      <x:c r="B37" s="80" t="n">
        <x:v>45387</x:v>
      </x:c>
      <x:c r="C37" s="17" t="n">
        <x:v>2024</x:v>
      </x:c>
      <x:c r="D37" s="19" t="str">
        <x:v>Rajiv Gandhi International Stadium</x:v>
      </x:c>
      <x:c r="E37" s="19" t="str">
        <x:v>Chennai Super Kings</x:v>
      </x:c>
      <x:c r="F37" s="19" t="str">
        <x:v>Sunrisers Hyderabad</x:v>
      </x:c>
      <x:c r="G37" s="19" t="str">
        <x:v>Sunrisers Hyderabad</x:v>
      </x:c>
      <x:c r="H37" s="17" t="str">
        <x:v>Loss</x:v>
      </x:c>
      <x:c r="I37" s="81" t="n">
        <x:v>0</x:v>
      </x:c>
      <x:c r="J37" s="83" t="n">
        <x:f>--AND(OR(D37=Dashboard!$B$4,Dashboard!$B$4="All Venues"),B37&gt;=Dashboard!$E$4,B37&lt;=Dashboard!$H$4)</x:f>
        <x:v>1</x:v>
      </x:c>
    </x:row>
    <x:row r="38">
      <x:c r="A38" s="17" t="n">
        <x:v>19</x:v>
      </x:c>
      <x:c r="B38" s="80" t="n">
        <x:v>45388</x:v>
      </x:c>
      <x:c r="C38" s="17" t="n">
        <x:v>2024</x:v>
      </x:c>
      <x:c r="D38" s="19" t="str">
        <x:v>Sawai Mansingh Stadium</x:v>
      </x:c>
      <x:c r="E38" s="19" t="str">
        <x:v>Rajasthan Royals</x:v>
      </x:c>
      <x:c r="F38" s="19" t="str">
        <x:v>Royal Challengers Bengaluru</x:v>
      </x:c>
      <x:c r="G38" s="19" t="str">
        <x:v>Rajasthan Royals</x:v>
      </x:c>
      <x:c r="H38" s="17" t="str">
        <x:v>Win</x:v>
      </x:c>
      <x:c r="I38" s="81" t="n">
        <x:v>1</x:v>
      </x:c>
      <x:c r="J38" s="83" t="n">
        <x:f>--AND(OR(D38=Dashboard!$B$4,Dashboard!$B$4="All Venues"),B38&gt;=Dashboard!$E$4,B38&lt;=Dashboard!$H$4)</x:f>
        <x:v>1</x:v>
      </x:c>
    </x:row>
    <x:row r="39">
      <x:c r="A39" s="17" t="n">
        <x:v>19</x:v>
      </x:c>
      <x:c r="B39" s="80" t="n">
        <x:v>45388</x:v>
      </x:c>
      <x:c r="C39" s="17" t="n">
        <x:v>2024</x:v>
      </x:c>
      <x:c r="D39" s="19" t="str">
        <x:v>Sawai Mansingh Stadium</x:v>
      </x:c>
      <x:c r="E39" s="19" t="str">
        <x:v>Royal Challengers Bengaluru</x:v>
      </x:c>
      <x:c r="F39" s="19" t="str">
        <x:v>Rajasthan Royals</x:v>
      </x:c>
      <x:c r="G39" s="19" t="str">
        <x:v>Rajasthan Royals</x:v>
      </x:c>
      <x:c r="H39" s="17" t="str">
        <x:v>Loss</x:v>
      </x:c>
      <x:c r="I39" s="81" t="n">
        <x:v>0</x:v>
      </x:c>
      <x:c r="J39" s="83" t="n">
        <x:f>--AND(OR(D39=Dashboard!$B$4,Dashboard!$B$4="All Venues"),B39&gt;=Dashboard!$E$4,B39&lt;=Dashboard!$H$4)</x:f>
        <x:v>1</x:v>
      </x:c>
    </x:row>
    <x:row r="40">
      <x:c r="A40" s="17" t="n">
        <x:v>20</x:v>
      </x:c>
      <x:c r="B40" s="80" t="n">
        <x:v>45389</x:v>
      </x:c>
      <x:c r="C40" s="17" t="n">
        <x:v>2024</x:v>
      </x:c>
      <x:c r="D40" s="19" t="str">
        <x:v>Wankhede Stadium</x:v>
      </x:c>
      <x:c r="E40" s="19" t="str">
        <x:v>Mumbai Indians</x:v>
      </x:c>
      <x:c r="F40" s="19" t="str">
        <x:v>Delhi Capitals</x:v>
      </x:c>
      <x:c r="G40" s="19" t="str">
        <x:v>Mumbai Indians</x:v>
      </x:c>
      <x:c r="H40" s="17" t="str">
        <x:v>Win</x:v>
      </x:c>
      <x:c r="I40" s="81" t="n">
        <x:v>1</x:v>
      </x:c>
      <x:c r="J40" s="83" t="n">
        <x:f>--AND(OR(D40=Dashboard!$B$4,Dashboard!$B$4="All Venues"),B40&gt;=Dashboard!$E$4,B40&lt;=Dashboard!$H$4)</x:f>
        <x:v>1</x:v>
      </x:c>
    </x:row>
    <x:row r="41">
      <x:c r="A41" s="17" t="n">
        <x:v>20</x:v>
      </x:c>
      <x:c r="B41" s="80" t="n">
        <x:v>45389</x:v>
      </x:c>
      <x:c r="C41" s="17" t="n">
        <x:v>2024</x:v>
      </x:c>
      <x:c r="D41" s="19" t="str">
        <x:v>Wankhede Stadium</x:v>
      </x:c>
      <x:c r="E41" s="19" t="str">
        <x:v>Delhi Capitals</x:v>
      </x:c>
      <x:c r="F41" s="19" t="str">
        <x:v>Mumbai Indians</x:v>
      </x:c>
      <x:c r="G41" s="19" t="str">
        <x:v>Mumbai Indians</x:v>
      </x:c>
      <x:c r="H41" s="17" t="str">
        <x:v>Loss</x:v>
      </x:c>
      <x:c r="I41" s="81" t="n">
        <x:v>0</x:v>
      </x:c>
      <x:c r="J41" s="83" t="n">
        <x:f>--AND(OR(D41=Dashboard!$B$4,Dashboard!$B$4="All Venues"),B41&gt;=Dashboard!$E$4,B41&lt;=Dashboard!$H$4)</x:f>
        <x:v>1</x:v>
      </x:c>
    </x:row>
    <x:row r="42">
      <x:c r="A42" s="17" t="n">
        <x:v>21</x:v>
      </x:c>
      <x:c r="B42" s="80" t="n">
        <x:v>45389</x:v>
      </x:c>
      <x:c r="C42" s="17" t="n">
        <x:v>2024</x:v>
      </x:c>
      <x:c r="D42" s="19" t="str">
        <x:v>BRSABV Ekana Cricket Stadium</x:v>
      </x:c>
      <x:c r="E42" s="19" t="str">
        <x:v>Lucknow Super Giants</x:v>
      </x:c>
      <x:c r="F42" s="19" t="str">
        <x:v>Gujarat Titans</x:v>
      </x:c>
      <x:c r="G42" s="19" t="str">
        <x:v>Lucknow Super Giants</x:v>
      </x:c>
      <x:c r="H42" s="17" t="str">
        <x:v>Win</x:v>
      </x:c>
      <x:c r="I42" s="81" t="n">
        <x:v>1</x:v>
      </x:c>
      <x:c r="J42" s="83" t="n">
        <x:f>--AND(OR(D42=Dashboard!$B$4,Dashboard!$B$4="All Venues"),B42&gt;=Dashboard!$E$4,B42&lt;=Dashboard!$H$4)</x:f>
        <x:v>1</x:v>
      </x:c>
    </x:row>
    <x:row r="43">
      <x:c r="A43" s="17" t="n">
        <x:v>21</x:v>
      </x:c>
      <x:c r="B43" s="80" t="n">
        <x:v>45389</x:v>
      </x:c>
      <x:c r="C43" s="17" t="n">
        <x:v>2024</x:v>
      </x:c>
      <x:c r="D43" s="19" t="str">
        <x:v>BRSABV Ekana Cricket Stadium</x:v>
      </x:c>
      <x:c r="E43" s="19" t="str">
        <x:v>Gujarat Titans</x:v>
      </x:c>
      <x:c r="F43" s="19" t="str">
        <x:v>Lucknow Super Giants</x:v>
      </x:c>
      <x:c r="G43" s="19" t="str">
        <x:v>Lucknow Super Giants</x:v>
      </x:c>
      <x:c r="H43" s="17" t="str">
        <x:v>Loss</x:v>
      </x:c>
      <x:c r="I43" s="81" t="n">
        <x:v>0</x:v>
      </x:c>
      <x:c r="J43" s="83" t="n">
        <x:f>--AND(OR(D43=Dashboard!$B$4,Dashboard!$B$4="All Venues"),B43&gt;=Dashboard!$E$4,B43&lt;=Dashboard!$H$4)</x:f>
        <x:v>1</x:v>
      </x:c>
    </x:row>
    <x:row r="44">
      <x:c r="A44" s="17" t="n">
        <x:v>22</x:v>
      </x:c>
      <x:c r="B44" s="80" t="n">
        <x:v>45390</x:v>
      </x:c>
      <x:c r="C44" s="17" t="n">
        <x:v>2024</x:v>
      </x:c>
      <x:c r="D44" s="19" t="str">
        <x:v>MA Chidambaram Stadium</x:v>
      </x:c>
      <x:c r="E44" s="19" t="str">
        <x:v>Chennai Super Kings</x:v>
      </x:c>
      <x:c r="F44" s="19" t="str">
        <x:v>Kolkata Knight Riders</x:v>
      </x:c>
      <x:c r="G44" s="19" t="str">
        <x:v>Chennai Super Kings</x:v>
      </x:c>
      <x:c r="H44" s="17" t="str">
        <x:v>Win</x:v>
      </x:c>
      <x:c r="I44" s="81" t="n">
        <x:v>1</x:v>
      </x:c>
      <x:c r="J44" s="83" t="n">
        <x:f>--AND(OR(D44=Dashboard!$B$4,Dashboard!$B$4="All Venues"),B44&gt;=Dashboard!$E$4,B44&lt;=Dashboard!$H$4)</x:f>
        <x:v>1</x:v>
      </x:c>
    </x:row>
    <x:row r="45">
      <x:c r="A45" s="17" t="n">
        <x:v>22</x:v>
      </x:c>
      <x:c r="B45" s="80" t="n">
        <x:v>45390</x:v>
      </x:c>
      <x:c r="C45" s="17" t="n">
        <x:v>2024</x:v>
      </x:c>
      <x:c r="D45" s="19" t="str">
        <x:v>MA Chidambaram Stadium</x:v>
      </x:c>
      <x:c r="E45" s="19" t="str">
        <x:v>Kolkata Knight Riders</x:v>
      </x:c>
      <x:c r="F45" s="19" t="str">
        <x:v>Chennai Super Kings</x:v>
      </x:c>
      <x:c r="G45" s="19" t="str">
        <x:v>Chennai Super Kings</x:v>
      </x:c>
      <x:c r="H45" s="17" t="str">
        <x:v>Loss</x:v>
      </x:c>
      <x:c r="I45" s="81" t="n">
        <x:v>0</x:v>
      </x:c>
      <x:c r="J45" s="83" t="n">
        <x:f>--AND(OR(D45=Dashboard!$B$4,Dashboard!$B$4="All Venues"),B45&gt;=Dashboard!$E$4,B45&lt;=Dashboard!$H$4)</x:f>
        <x:v>1</x:v>
      </x:c>
    </x:row>
    <x:row r="46">
      <x:c r="A46" s="17" t="n">
        <x:v>23</x:v>
      </x:c>
      <x:c r="B46" s="80" t="n">
        <x:v>45391</x:v>
      </x:c>
      <x:c r="C46" s="17" t="n">
        <x:v>2024</x:v>
      </x:c>
      <x:c r="D46" s="19" t="str">
        <x:v>PCA New Stadium</x:v>
      </x:c>
      <x:c r="E46" s="19" t="str">
        <x:v>Punjab Kings</x:v>
      </x:c>
      <x:c r="F46" s="19" t="str">
        <x:v>Sunrisers Hyderabad</x:v>
      </x:c>
      <x:c r="G46" s="19" t="str">
        <x:v>Sunrisers Hyderabad</x:v>
      </x:c>
      <x:c r="H46" s="17" t="str">
        <x:v>Loss</x:v>
      </x:c>
      <x:c r="I46" s="81" t="n">
        <x:v>0</x:v>
      </x:c>
      <x:c r="J46" s="83" t="n">
        <x:f>--AND(OR(D46=Dashboard!$B$4,Dashboard!$B$4="All Venues"),B46&gt;=Dashboard!$E$4,B46&lt;=Dashboard!$H$4)</x:f>
        <x:v>1</x:v>
      </x:c>
    </x:row>
    <x:row r="47">
      <x:c r="A47" s="17" t="n">
        <x:v>23</x:v>
      </x:c>
      <x:c r="B47" s="80" t="n">
        <x:v>45391</x:v>
      </x:c>
      <x:c r="C47" s="17" t="n">
        <x:v>2024</x:v>
      </x:c>
      <x:c r="D47" s="19" t="str">
        <x:v>PCA New Stadium</x:v>
      </x:c>
      <x:c r="E47" s="19" t="str">
        <x:v>Sunrisers Hyderabad</x:v>
      </x:c>
      <x:c r="F47" s="19" t="str">
        <x:v>Punjab Kings</x:v>
      </x:c>
      <x:c r="G47" s="19" t="str">
        <x:v>Sunrisers Hyderabad</x:v>
      </x:c>
      <x:c r="H47" s="17" t="str">
        <x:v>Win</x:v>
      </x:c>
      <x:c r="I47" s="81" t="n">
        <x:v>1</x:v>
      </x:c>
      <x:c r="J47" s="83" t="n">
        <x:f>--AND(OR(D47=Dashboard!$B$4,Dashboard!$B$4="All Venues"),B47&gt;=Dashboard!$E$4,B47&lt;=Dashboard!$H$4)</x:f>
        <x:v>1</x:v>
      </x:c>
    </x:row>
    <x:row r="48">
      <x:c r="A48" s="17" t="n">
        <x:v>24</x:v>
      </x:c>
      <x:c r="B48" s="80" t="n">
        <x:v>45392</x:v>
      </x:c>
      <x:c r="C48" s="17" t="n">
        <x:v>2024</x:v>
      </x:c>
      <x:c r="D48" s="19" t="str">
        <x:v>Sawai Mansingh Stadium</x:v>
      </x:c>
      <x:c r="E48" s="19" t="str">
        <x:v>Rajasthan Royals</x:v>
      </x:c>
      <x:c r="F48" s="19" t="str">
        <x:v>Gujarat Titans</x:v>
      </x:c>
      <x:c r="G48" s="19" t="str">
        <x:v>Gujarat Titans</x:v>
      </x:c>
      <x:c r="H48" s="17" t="str">
        <x:v>Loss</x:v>
      </x:c>
      <x:c r="I48" s="81" t="n">
        <x:v>0</x:v>
      </x:c>
      <x:c r="J48" s="83" t="n">
        <x:f>--AND(OR(D48=Dashboard!$B$4,Dashboard!$B$4="All Venues"),B48&gt;=Dashboard!$E$4,B48&lt;=Dashboard!$H$4)</x:f>
        <x:v>1</x:v>
      </x:c>
    </x:row>
    <x:row r="49">
      <x:c r="A49" s="17" t="n">
        <x:v>24</x:v>
      </x:c>
      <x:c r="B49" s="80" t="n">
        <x:v>45392</x:v>
      </x:c>
      <x:c r="C49" s="17" t="n">
        <x:v>2024</x:v>
      </x:c>
      <x:c r="D49" s="19" t="str">
        <x:v>Sawai Mansingh Stadium</x:v>
      </x:c>
      <x:c r="E49" s="19" t="str">
        <x:v>Gujarat Titans</x:v>
      </x:c>
      <x:c r="F49" s="19" t="str">
        <x:v>Rajasthan Royals</x:v>
      </x:c>
      <x:c r="G49" s="19" t="str">
        <x:v>Gujarat Titans</x:v>
      </x:c>
      <x:c r="H49" s="17" t="str">
        <x:v>Win</x:v>
      </x:c>
      <x:c r="I49" s="81" t="n">
        <x:v>1</x:v>
      </x:c>
      <x:c r="J49" s="83" t="n">
        <x:f>--AND(OR(D49=Dashboard!$B$4,Dashboard!$B$4="All Venues"),B49&gt;=Dashboard!$E$4,B49&lt;=Dashboard!$H$4)</x:f>
        <x:v>1</x:v>
      </x:c>
    </x:row>
    <x:row r="50">
      <x:c r="A50" s="17" t="n">
        <x:v>25</x:v>
      </x:c>
      <x:c r="B50" s="80" t="n">
        <x:v>45393</x:v>
      </x:c>
      <x:c r="C50" s="17" t="n">
        <x:v>2024</x:v>
      </x:c>
      <x:c r="D50" s="19" t="str">
        <x:v>Wankhede Stadium</x:v>
      </x:c>
      <x:c r="E50" s="19" t="str">
        <x:v>Mumbai Indians</x:v>
      </x:c>
      <x:c r="F50" s="19" t="str">
        <x:v>Royal Challengers Bengaluru</x:v>
      </x:c>
      <x:c r="G50" s="19" t="str">
        <x:v>Mumbai Indians</x:v>
      </x:c>
      <x:c r="H50" s="17" t="str">
        <x:v>Win</x:v>
      </x:c>
      <x:c r="I50" s="81" t="n">
        <x:v>1</x:v>
      </x:c>
      <x:c r="J50" s="83" t="n">
        <x:f>--AND(OR(D50=Dashboard!$B$4,Dashboard!$B$4="All Venues"),B50&gt;=Dashboard!$E$4,B50&lt;=Dashboard!$H$4)</x:f>
        <x:v>1</x:v>
      </x:c>
    </x:row>
    <x:row r="51">
      <x:c r="A51" s="17" t="n">
        <x:v>25</x:v>
      </x:c>
      <x:c r="B51" s="80" t="n">
        <x:v>45393</x:v>
      </x:c>
      <x:c r="C51" s="17" t="n">
        <x:v>2024</x:v>
      </x:c>
      <x:c r="D51" s="19" t="str">
        <x:v>Wankhede Stadium</x:v>
      </x:c>
      <x:c r="E51" s="19" t="str">
        <x:v>Royal Challengers Bengaluru</x:v>
      </x:c>
      <x:c r="F51" s="19" t="str">
        <x:v>Mumbai Indians</x:v>
      </x:c>
      <x:c r="G51" s="19" t="str">
        <x:v>Mumbai Indians</x:v>
      </x:c>
      <x:c r="H51" s="17" t="str">
        <x:v>Loss</x:v>
      </x:c>
      <x:c r="I51" s="81" t="n">
        <x:v>0</x:v>
      </x:c>
      <x:c r="J51" s="83" t="n">
        <x:f>--AND(OR(D51=Dashboard!$B$4,Dashboard!$B$4="All Venues"),B51&gt;=Dashboard!$E$4,B51&lt;=Dashboard!$H$4)</x:f>
        <x:v>1</x:v>
      </x:c>
    </x:row>
    <x:row r="52">
      <x:c r="A52" s="17" t="n">
        <x:v>26</x:v>
      </x:c>
      <x:c r="B52" s="80" t="n">
        <x:v>45394</x:v>
      </x:c>
      <x:c r="C52" s="17" t="n">
        <x:v>2024</x:v>
      </x:c>
      <x:c r="D52" s="19" t="str">
        <x:v>BRSABV Ekana Cricket Stadium</x:v>
      </x:c>
      <x:c r="E52" s="19" t="str">
        <x:v>Lucknow Super Giants</x:v>
      </x:c>
      <x:c r="F52" s="19" t="str">
        <x:v>Delhi Capitals</x:v>
      </x:c>
      <x:c r="G52" s="19" t="str">
        <x:v>Delhi Capitals</x:v>
      </x:c>
      <x:c r="H52" s="17" t="str">
        <x:v>Loss</x:v>
      </x:c>
      <x:c r="I52" s="81" t="n">
        <x:v>0</x:v>
      </x:c>
      <x:c r="J52" s="83" t="n">
        <x:f>--AND(OR(D52=Dashboard!$B$4,Dashboard!$B$4="All Venues"),B52&gt;=Dashboard!$E$4,B52&lt;=Dashboard!$H$4)</x:f>
        <x:v>1</x:v>
      </x:c>
    </x:row>
    <x:row r="53">
      <x:c r="A53" s="17" t="n">
        <x:v>26</x:v>
      </x:c>
      <x:c r="B53" s="80" t="n">
        <x:v>45394</x:v>
      </x:c>
      <x:c r="C53" s="17" t="n">
        <x:v>2024</x:v>
      </x:c>
      <x:c r="D53" s="19" t="str">
        <x:v>BRSABV Ekana Cricket Stadium</x:v>
      </x:c>
      <x:c r="E53" s="19" t="str">
        <x:v>Delhi Capitals</x:v>
      </x:c>
      <x:c r="F53" s="19" t="str">
        <x:v>Lucknow Super Giants</x:v>
      </x:c>
      <x:c r="G53" s="19" t="str">
        <x:v>Delhi Capitals</x:v>
      </x:c>
      <x:c r="H53" s="17" t="str">
        <x:v>Win</x:v>
      </x:c>
      <x:c r="I53" s="81" t="n">
        <x:v>1</x:v>
      </x:c>
      <x:c r="J53" s="83" t="n">
        <x:f>--AND(OR(D53=Dashboard!$B$4,Dashboard!$B$4="All Venues"),B53&gt;=Dashboard!$E$4,B53&lt;=Dashboard!$H$4)</x:f>
        <x:v>1</x:v>
      </x:c>
    </x:row>
    <x:row r="54">
      <x:c r="A54" s="17" t="n">
        <x:v>27</x:v>
      </x:c>
      <x:c r="B54" s="80" t="n">
        <x:v>45395</x:v>
      </x:c>
      <x:c r="C54" s="17" t="n">
        <x:v>2024</x:v>
      </x:c>
      <x:c r="D54" s="19" t="str">
        <x:v>PCA New Stadium</x:v>
      </x:c>
      <x:c r="E54" s="19" t="str">
        <x:v>Punjab Kings</x:v>
      </x:c>
      <x:c r="F54" s="19" t="str">
        <x:v>Rajasthan Royals</x:v>
      </x:c>
      <x:c r="G54" s="19" t="str">
        <x:v>Rajasthan Royals</x:v>
      </x:c>
      <x:c r="H54" s="17" t="str">
        <x:v>Loss</x:v>
      </x:c>
      <x:c r="I54" s="81" t="n">
        <x:v>0</x:v>
      </x:c>
      <x:c r="J54" s="83" t="n">
        <x:f>--AND(OR(D54=Dashboard!$B$4,Dashboard!$B$4="All Venues"),B54&gt;=Dashboard!$E$4,B54&lt;=Dashboard!$H$4)</x:f>
        <x:v>1</x:v>
      </x:c>
    </x:row>
    <x:row r="55">
      <x:c r="A55" s="17" t="n">
        <x:v>27</x:v>
      </x:c>
      <x:c r="B55" s="80" t="n">
        <x:v>45395</x:v>
      </x:c>
      <x:c r="C55" s="17" t="n">
        <x:v>2024</x:v>
      </x:c>
      <x:c r="D55" s="19" t="str">
        <x:v>PCA New Stadium</x:v>
      </x:c>
      <x:c r="E55" s="19" t="str">
        <x:v>Rajasthan Royals</x:v>
      </x:c>
      <x:c r="F55" s="19" t="str">
        <x:v>Punjab Kings</x:v>
      </x:c>
      <x:c r="G55" s="19" t="str">
        <x:v>Rajasthan Royals</x:v>
      </x:c>
      <x:c r="H55" s="17" t="str">
        <x:v>Win</x:v>
      </x:c>
      <x:c r="I55" s="81" t="n">
        <x:v>1</x:v>
      </x:c>
      <x:c r="J55" s="83" t="n">
        <x:f>--AND(OR(D55=Dashboard!$B$4,Dashboard!$B$4="All Venues"),B55&gt;=Dashboard!$E$4,B55&lt;=Dashboard!$H$4)</x:f>
        <x:v>1</x:v>
      </x:c>
    </x:row>
    <x:row r="56">
      <x:c r="A56" s="17" t="n">
        <x:v>28</x:v>
      </x:c>
      <x:c r="B56" s="80" t="n">
        <x:v>45396</x:v>
      </x:c>
      <x:c r="C56" s="17" t="n">
        <x:v>2024</x:v>
      </x:c>
      <x:c r="D56" s="19" t="str">
        <x:v>Eden Gardens</x:v>
      </x:c>
      <x:c r="E56" s="19" t="str">
        <x:v>Kolkata Knight Riders</x:v>
      </x:c>
      <x:c r="F56" s="19" t="str">
        <x:v>Lucknow Super Giants</x:v>
      </x:c>
      <x:c r="G56" s="19" t="str">
        <x:v>Kolkata Knight Riders</x:v>
      </x:c>
      <x:c r="H56" s="17" t="str">
        <x:v>Win</x:v>
      </x:c>
      <x:c r="I56" s="81" t="n">
        <x:v>1</x:v>
      </x:c>
      <x:c r="J56" s="83" t="n">
        <x:f>--AND(OR(D56=Dashboard!$B$4,Dashboard!$B$4="All Venues"),B56&gt;=Dashboard!$E$4,B56&lt;=Dashboard!$H$4)</x:f>
        <x:v>1</x:v>
      </x:c>
    </x:row>
    <x:row r="57">
      <x:c r="A57" s="17" t="n">
        <x:v>28</x:v>
      </x:c>
      <x:c r="B57" s="80" t="n">
        <x:v>45396</x:v>
      </x:c>
      <x:c r="C57" s="17" t="n">
        <x:v>2024</x:v>
      </x:c>
      <x:c r="D57" s="19" t="str">
        <x:v>Eden Gardens</x:v>
      </x:c>
      <x:c r="E57" s="19" t="str">
        <x:v>Lucknow Super Giants</x:v>
      </x:c>
      <x:c r="F57" s="19" t="str">
        <x:v>Kolkata Knight Riders</x:v>
      </x:c>
      <x:c r="G57" s="19" t="str">
        <x:v>Kolkata Knight Riders</x:v>
      </x:c>
      <x:c r="H57" s="17" t="str">
        <x:v>Loss</x:v>
      </x:c>
      <x:c r="I57" s="81" t="n">
        <x:v>0</x:v>
      </x:c>
      <x:c r="J57" s="83" t="n">
        <x:f>--AND(OR(D57=Dashboard!$B$4,Dashboard!$B$4="All Venues"),B57&gt;=Dashboard!$E$4,B57&lt;=Dashboard!$H$4)</x:f>
        <x:v>1</x:v>
      </x:c>
    </x:row>
    <x:row r="58">
      <x:c r="A58" s="17" t="n">
        <x:v>29</x:v>
      </x:c>
      <x:c r="B58" s="80" t="n">
        <x:v>45396</x:v>
      </x:c>
      <x:c r="C58" s="17" t="n">
        <x:v>2024</x:v>
      </x:c>
      <x:c r="D58" s="19" t="str">
        <x:v>Wankhede Stadium</x:v>
      </x:c>
      <x:c r="E58" s="19" t="str">
        <x:v>Mumbai Indians</x:v>
      </x:c>
      <x:c r="F58" s="19" t="str">
        <x:v>Chennai Super Kings</x:v>
      </x:c>
      <x:c r="G58" s="19" t="str">
        <x:v>Chennai Super Kings</x:v>
      </x:c>
      <x:c r="H58" s="17" t="str">
        <x:v>Loss</x:v>
      </x:c>
      <x:c r="I58" s="81" t="n">
        <x:v>0</x:v>
      </x:c>
      <x:c r="J58" s="83" t="n">
        <x:f>--AND(OR(D58=Dashboard!$B$4,Dashboard!$B$4="All Venues"),B58&gt;=Dashboard!$E$4,B58&lt;=Dashboard!$H$4)</x:f>
        <x:v>1</x:v>
      </x:c>
    </x:row>
    <x:row r="59">
      <x:c r="A59" s="17" t="n">
        <x:v>29</x:v>
      </x:c>
      <x:c r="B59" s="80" t="n">
        <x:v>45396</x:v>
      </x:c>
      <x:c r="C59" s="17" t="n">
        <x:v>2024</x:v>
      </x:c>
      <x:c r="D59" s="19" t="str">
        <x:v>Wankhede Stadium</x:v>
      </x:c>
      <x:c r="E59" s="19" t="str">
        <x:v>Chennai Super Kings</x:v>
      </x:c>
      <x:c r="F59" s="19" t="str">
        <x:v>Mumbai Indians</x:v>
      </x:c>
      <x:c r="G59" s="19" t="str">
        <x:v>Chennai Super Kings</x:v>
      </x:c>
      <x:c r="H59" s="17" t="str">
        <x:v>Win</x:v>
      </x:c>
      <x:c r="I59" s="81" t="n">
        <x:v>1</x:v>
      </x:c>
      <x:c r="J59" s="83" t="n">
        <x:f>--AND(OR(D59=Dashboard!$B$4,Dashboard!$B$4="All Venues"),B59&gt;=Dashboard!$E$4,B59&lt;=Dashboard!$H$4)</x:f>
        <x:v>1</x:v>
      </x:c>
    </x:row>
    <x:row r="60">
      <x:c r="A60" s="17" t="n">
        <x:v>30</x:v>
      </x:c>
      <x:c r="B60" s="80" t="n">
        <x:v>45397</x:v>
      </x:c>
      <x:c r="C60" s="17" t="n">
        <x:v>2024</x:v>
      </x:c>
      <x:c r="D60" s="19" t="str">
        <x:v>M Chinnaswamy Stadium</x:v>
      </x:c>
      <x:c r="E60" s="19" t="str">
        <x:v>Royal Challengers Bengaluru</x:v>
      </x:c>
      <x:c r="F60" s="19" t="str">
        <x:v>Sunrisers Hyderabad</x:v>
      </x:c>
      <x:c r="G60" s="19" t="str">
        <x:v>Sunrisers Hyderabad</x:v>
      </x:c>
      <x:c r="H60" s="17" t="str">
        <x:v>Loss</x:v>
      </x:c>
      <x:c r="I60" s="81" t="n">
        <x:v>0</x:v>
      </x:c>
      <x:c r="J60" s="83" t="n">
        <x:f>--AND(OR(D60=Dashboard!$B$4,Dashboard!$B$4="All Venues"),B60&gt;=Dashboard!$E$4,B60&lt;=Dashboard!$H$4)</x:f>
        <x:v>1</x:v>
      </x:c>
    </x:row>
    <x:row r="61">
      <x:c r="A61" s="17" t="n">
        <x:v>30</x:v>
      </x:c>
      <x:c r="B61" s="80" t="n">
        <x:v>45397</x:v>
      </x:c>
      <x:c r="C61" s="17" t="n">
        <x:v>2024</x:v>
      </x:c>
      <x:c r="D61" s="19" t="str">
        <x:v>M Chinnaswamy Stadium</x:v>
      </x:c>
      <x:c r="E61" s="19" t="str">
        <x:v>Sunrisers Hyderabad</x:v>
      </x:c>
      <x:c r="F61" s="19" t="str">
        <x:v>Royal Challengers Bengaluru</x:v>
      </x:c>
      <x:c r="G61" s="19" t="str">
        <x:v>Sunrisers Hyderabad</x:v>
      </x:c>
      <x:c r="H61" s="17" t="str">
        <x:v>Win</x:v>
      </x:c>
      <x:c r="I61" s="81" t="n">
        <x:v>1</x:v>
      </x:c>
      <x:c r="J61" s="83" t="n">
        <x:f>--AND(OR(D61=Dashboard!$B$4,Dashboard!$B$4="All Venues"),B61&gt;=Dashboard!$E$4,B61&lt;=Dashboard!$H$4)</x:f>
        <x:v>1</x:v>
      </x:c>
    </x:row>
    <x:row r="62">
      <x:c r="A62" s="17" t="n">
        <x:v>32</x:v>
      </x:c>
      <x:c r="B62" s="80" t="n">
        <x:v>45398</x:v>
      </x:c>
      <x:c r="C62" s="17" t="n">
        <x:v>2024</x:v>
      </x:c>
      <x:c r="D62" s="19" t="str">
        <x:v>Eden Gardens</x:v>
      </x:c>
      <x:c r="E62" s="19" t="str">
        <x:v>Kolkata Knight Riders</x:v>
      </x:c>
      <x:c r="F62" s="19" t="str">
        <x:v>Rajasthan Royals</x:v>
      </x:c>
      <x:c r="G62" s="19" t="str">
        <x:v>Rajasthan Royals</x:v>
      </x:c>
      <x:c r="H62" s="17" t="str">
        <x:v>Loss</x:v>
      </x:c>
      <x:c r="I62" s="81" t="n">
        <x:v>0</x:v>
      </x:c>
      <x:c r="J62" s="83" t="n">
        <x:f>--AND(OR(D62=Dashboard!$B$4,Dashboard!$B$4="All Venues"),B62&gt;=Dashboard!$E$4,B62&lt;=Dashboard!$H$4)</x:f>
        <x:v>1</x:v>
      </x:c>
    </x:row>
    <x:row r="63">
      <x:c r="A63" s="17" t="n">
        <x:v>32</x:v>
      </x:c>
      <x:c r="B63" s="80" t="n">
        <x:v>45398</x:v>
      </x:c>
      <x:c r="C63" s="17" t="n">
        <x:v>2024</x:v>
      </x:c>
      <x:c r="D63" s="19" t="str">
        <x:v>Eden Gardens</x:v>
      </x:c>
      <x:c r="E63" s="19" t="str">
        <x:v>Rajasthan Royals</x:v>
      </x:c>
      <x:c r="F63" s="19" t="str">
        <x:v>Kolkata Knight Riders</x:v>
      </x:c>
      <x:c r="G63" s="19" t="str">
        <x:v>Rajasthan Royals</x:v>
      </x:c>
      <x:c r="H63" s="17" t="str">
        <x:v>Win</x:v>
      </x:c>
      <x:c r="I63" s="81" t="n">
        <x:v>1</x:v>
      </x:c>
      <x:c r="J63" s="83" t="n">
        <x:f>--AND(OR(D63=Dashboard!$B$4,Dashboard!$B$4="All Venues"),B63&gt;=Dashboard!$E$4,B63&lt;=Dashboard!$H$4)</x:f>
        <x:v>1</x:v>
      </x:c>
    </x:row>
    <x:row r="64">
      <x:c r="A64" s="17" t="n">
        <x:v>31</x:v>
      </x:c>
      <x:c r="B64" s="80" t="n">
        <x:v>45399</x:v>
      </x:c>
      <x:c r="C64" s="17" t="n">
        <x:v>2024</x:v>
      </x:c>
      <x:c r="D64" s="19" t="str">
        <x:v>Narendra Modi Stadium</x:v>
      </x:c>
      <x:c r="E64" s="19" t="str">
        <x:v>Gujarat Titans</x:v>
      </x:c>
      <x:c r="F64" s="19" t="str">
        <x:v>Delhi Capitals</x:v>
      </x:c>
      <x:c r="G64" s="19" t="str">
        <x:v>Delhi Capitals</x:v>
      </x:c>
      <x:c r="H64" s="17" t="str">
        <x:v>Loss</x:v>
      </x:c>
      <x:c r="I64" s="81" t="n">
        <x:v>0</x:v>
      </x:c>
      <x:c r="J64" s="83" t="n">
        <x:f>--AND(OR(D64=Dashboard!$B$4,Dashboard!$B$4="All Venues"),B64&gt;=Dashboard!$E$4,B64&lt;=Dashboard!$H$4)</x:f>
        <x:v>1</x:v>
      </x:c>
    </x:row>
    <x:row r="65">
      <x:c r="A65" s="17" t="n">
        <x:v>31</x:v>
      </x:c>
      <x:c r="B65" s="80" t="n">
        <x:v>45399</x:v>
      </x:c>
      <x:c r="C65" s="17" t="n">
        <x:v>2024</x:v>
      </x:c>
      <x:c r="D65" s="19" t="str">
        <x:v>Narendra Modi Stadium</x:v>
      </x:c>
      <x:c r="E65" s="19" t="str">
        <x:v>Delhi Capitals</x:v>
      </x:c>
      <x:c r="F65" s="19" t="str">
        <x:v>Gujarat Titans</x:v>
      </x:c>
      <x:c r="G65" s="19" t="str">
        <x:v>Delhi Capitals</x:v>
      </x:c>
      <x:c r="H65" s="17" t="str">
        <x:v>Win</x:v>
      </x:c>
      <x:c r="I65" s="81" t="n">
        <x:v>1</x:v>
      </x:c>
      <x:c r="J65" s="83" t="n">
        <x:f>--AND(OR(D65=Dashboard!$B$4,Dashboard!$B$4="All Venues"),B65&gt;=Dashboard!$E$4,B65&lt;=Dashboard!$H$4)</x:f>
        <x:v>1</x:v>
      </x:c>
    </x:row>
    <x:row r="66">
      <x:c r="A66" s="17" t="n">
        <x:v>33</x:v>
      </x:c>
      <x:c r="B66" s="80" t="n">
        <x:v>45400</x:v>
      </x:c>
      <x:c r="C66" s="17" t="n">
        <x:v>2024</x:v>
      </x:c>
      <x:c r="D66" s="19" t="str">
        <x:v>PCA New Stadium</x:v>
      </x:c>
      <x:c r="E66" s="19" t="str">
        <x:v>Punjab Kings</x:v>
      </x:c>
      <x:c r="F66" s="19" t="str">
        <x:v>Mumbai Indians</x:v>
      </x:c>
      <x:c r="G66" s="19" t="str">
        <x:v>Mumbai Indians</x:v>
      </x:c>
      <x:c r="H66" s="17" t="str">
        <x:v>Loss</x:v>
      </x:c>
      <x:c r="I66" s="81" t="n">
        <x:v>0</x:v>
      </x:c>
      <x:c r="J66" s="83" t="n">
        <x:f>--AND(OR(D66=Dashboard!$B$4,Dashboard!$B$4="All Venues"),B66&gt;=Dashboard!$E$4,B66&lt;=Dashboard!$H$4)</x:f>
        <x:v>1</x:v>
      </x:c>
    </x:row>
    <x:row r="67">
      <x:c r="A67" s="17" t="n">
        <x:v>33</x:v>
      </x:c>
      <x:c r="B67" s="80" t="n">
        <x:v>45400</x:v>
      </x:c>
      <x:c r="C67" s="17" t="n">
        <x:v>2024</x:v>
      </x:c>
      <x:c r="D67" s="19" t="str">
        <x:v>PCA New Stadium</x:v>
      </x:c>
      <x:c r="E67" s="19" t="str">
        <x:v>Mumbai Indians</x:v>
      </x:c>
      <x:c r="F67" s="19" t="str">
        <x:v>Punjab Kings</x:v>
      </x:c>
      <x:c r="G67" s="19" t="str">
        <x:v>Mumbai Indians</x:v>
      </x:c>
      <x:c r="H67" s="17" t="str">
        <x:v>Win</x:v>
      </x:c>
      <x:c r="I67" s="81" t="n">
        <x:v>1</x:v>
      </x:c>
      <x:c r="J67" s="83" t="n">
        <x:f>--AND(OR(D67=Dashboard!$B$4,Dashboard!$B$4="All Venues"),B67&gt;=Dashboard!$E$4,B67&lt;=Dashboard!$H$4)</x:f>
        <x:v>1</x:v>
      </x:c>
    </x:row>
    <x:row r="68">
      <x:c r="A68" s="17" t="n">
        <x:v>34</x:v>
      </x:c>
      <x:c r="B68" s="80" t="n">
        <x:v>45401</x:v>
      </x:c>
      <x:c r="C68" s="17" t="n">
        <x:v>2024</x:v>
      </x:c>
      <x:c r="D68" s="19" t="str">
        <x:v>BRSABV Ekana Cricket Stadium</x:v>
      </x:c>
      <x:c r="E68" s="19" t="str">
        <x:v>Lucknow Super Giants</x:v>
      </x:c>
      <x:c r="F68" s="19" t="str">
        <x:v>Chennai Super Kings</x:v>
      </x:c>
      <x:c r="G68" s="19" t="str">
        <x:v>Lucknow Super Giants</x:v>
      </x:c>
      <x:c r="H68" s="17" t="str">
        <x:v>Win</x:v>
      </x:c>
      <x:c r="I68" s="81" t="n">
        <x:v>1</x:v>
      </x:c>
      <x:c r="J68" s="83" t="n">
        <x:f>--AND(OR(D68=Dashboard!$B$4,Dashboard!$B$4="All Venues"),B68&gt;=Dashboard!$E$4,B68&lt;=Dashboard!$H$4)</x:f>
        <x:v>1</x:v>
      </x:c>
    </x:row>
    <x:row r="69">
      <x:c r="A69" s="17" t="n">
        <x:v>34</x:v>
      </x:c>
      <x:c r="B69" s="80" t="n">
        <x:v>45401</x:v>
      </x:c>
      <x:c r="C69" s="17" t="n">
        <x:v>2024</x:v>
      </x:c>
      <x:c r="D69" s="19" t="str">
        <x:v>BRSABV Ekana Cricket Stadium</x:v>
      </x:c>
      <x:c r="E69" s="19" t="str">
        <x:v>Chennai Super Kings</x:v>
      </x:c>
      <x:c r="F69" s="19" t="str">
        <x:v>Lucknow Super Giants</x:v>
      </x:c>
      <x:c r="G69" s="19" t="str">
        <x:v>Lucknow Super Giants</x:v>
      </x:c>
      <x:c r="H69" s="17" t="str">
        <x:v>Loss</x:v>
      </x:c>
      <x:c r="I69" s="81" t="n">
        <x:v>0</x:v>
      </x:c>
      <x:c r="J69" s="83" t="n">
        <x:f>--AND(OR(D69=Dashboard!$B$4,Dashboard!$B$4="All Venues"),B69&gt;=Dashboard!$E$4,B69&lt;=Dashboard!$H$4)</x:f>
        <x:v>1</x:v>
      </x:c>
    </x:row>
    <x:row r="70">
      <x:c r="A70" s="17" t="n">
        <x:v>35</x:v>
      </x:c>
      <x:c r="B70" s="80" t="n">
        <x:v>45402</x:v>
      </x:c>
      <x:c r="C70" s="17" t="n">
        <x:v>2024</x:v>
      </x:c>
      <x:c r="D70" s="19" t="str">
        <x:v>Arun Jaitley Stadium</x:v>
      </x:c>
      <x:c r="E70" s="19" t="str">
        <x:v>Delhi Capitals</x:v>
      </x:c>
      <x:c r="F70" s="19" t="str">
        <x:v>Sunrisers Hyderabad</x:v>
      </x:c>
      <x:c r="G70" s="19" t="str">
        <x:v>Sunrisers Hyderabad</x:v>
      </x:c>
      <x:c r="H70" s="17" t="str">
        <x:v>Loss</x:v>
      </x:c>
      <x:c r="I70" s="81" t="n">
        <x:v>0</x:v>
      </x:c>
      <x:c r="J70" s="83" t="n">
        <x:f>--AND(OR(D70=Dashboard!$B$4,Dashboard!$B$4="All Venues"),B70&gt;=Dashboard!$E$4,B70&lt;=Dashboard!$H$4)</x:f>
        <x:v>1</x:v>
      </x:c>
    </x:row>
    <x:row r="71">
      <x:c r="A71" s="17" t="n">
        <x:v>35</x:v>
      </x:c>
      <x:c r="B71" s="80" t="n">
        <x:v>45402</x:v>
      </x:c>
      <x:c r="C71" s="17" t="n">
        <x:v>2024</x:v>
      </x:c>
      <x:c r="D71" s="19" t="str">
        <x:v>Arun Jaitley Stadium</x:v>
      </x:c>
      <x:c r="E71" s="19" t="str">
        <x:v>Sunrisers Hyderabad</x:v>
      </x:c>
      <x:c r="F71" s="19" t="str">
        <x:v>Delhi Capitals</x:v>
      </x:c>
      <x:c r="G71" s="19" t="str">
        <x:v>Sunrisers Hyderabad</x:v>
      </x:c>
      <x:c r="H71" s="17" t="str">
        <x:v>Win</x:v>
      </x:c>
      <x:c r="I71" s="81" t="n">
        <x:v>1</x:v>
      </x:c>
      <x:c r="J71" s="83" t="n">
        <x:f>--AND(OR(D71=Dashboard!$B$4,Dashboard!$B$4="All Venues"),B71&gt;=Dashboard!$E$4,B71&lt;=Dashboard!$H$4)</x:f>
        <x:v>1</x:v>
      </x:c>
    </x:row>
    <x:row r="72">
      <x:c r="A72" s="17" t="n">
        <x:v>36</x:v>
      </x:c>
      <x:c r="B72" s="80" t="n">
        <x:v>45403</x:v>
      </x:c>
      <x:c r="C72" s="17" t="n">
        <x:v>2024</x:v>
      </x:c>
      <x:c r="D72" s="19" t="str">
        <x:v>Eden Gardens</x:v>
      </x:c>
      <x:c r="E72" s="19" t="str">
        <x:v>Kolkata Knight Riders</x:v>
      </x:c>
      <x:c r="F72" s="19" t="str">
        <x:v>Royal Challengers Bengaluru</x:v>
      </x:c>
      <x:c r="G72" s="19" t="str">
        <x:v>Kolkata Knight Riders</x:v>
      </x:c>
      <x:c r="H72" s="17" t="str">
        <x:v>Win</x:v>
      </x:c>
      <x:c r="I72" s="81" t="n">
        <x:v>1</x:v>
      </x:c>
      <x:c r="J72" s="83" t="n">
        <x:f>--AND(OR(D72=Dashboard!$B$4,Dashboard!$B$4="All Venues"),B72&gt;=Dashboard!$E$4,B72&lt;=Dashboard!$H$4)</x:f>
        <x:v>1</x:v>
      </x:c>
    </x:row>
    <x:row r="73">
      <x:c r="A73" s="17" t="n">
        <x:v>36</x:v>
      </x:c>
      <x:c r="B73" s="80" t="n">
        <x:v>45403</x:v>
      </x:c>
      <x:c r="C73" s="17" t="n">
        <x:v>2024</x:v>
      </x:c>
      <x:c r="D73" s="19" t="str">
        <x:v>Eden Gardens</x:v>
      </x:c>
      <x:c r="E73" s="19" t="str">
        <x:v>Royal Challengers Bengaluru</x:v>
      </x:c>
      <x:c r="F73" s="19" t="str">
        <x:v>Kolkata Knight Riders</x:v>
      </x:c>
      <x:c r="G73" s="19" t="str">
        <x:v>Kolkata Knight Riders</x:v>
      </x:c>
      <x:c r="H73" s="17" t="str">
        <x:v>Loss</x:v>
      </x:c>
      <x:c r="I73" s="81" t="n">
        <x:v>0</x:v>
      </x:c>
      <x:c r="J73" s="83" t="n">
        <x:f>--AND(OR(D73=Dashboard!$B$4,Dashboard!$B$4="All Venues"),B73&gt;=Dashboard!$E$4,B73&lt;=Dashboard!$H$4)</x:f>
        <x:v>1</x:v>
      </x:c>
    </x:row>
    <x:row r="74">
      <x:c r="A74" s="17" t="n">
        <x:v>37</x:v>
      </x:c>
      <x:c r="B74" s="80" t="n">
        <x:v>45403</x:v>
      </x:c>
      <x:c r="C74" s="17" t="n">
        <x:v>2024</x:v>
      </x:c>
      <x:c r="D74" s="19" t="str">
        <x:v>PCA New Stadium</x:v>
      </x:c>
      <x:c r="E74" s="19" t="str">
        <x:v>Punjab Kings</x:v>
      </x:c>
      <x:c r="F74" s="19" t="str">
        <x:v>Gujarat Titans</x:v>
      </x:c>
      <x:c r="G74" s="19" t="str">
        <x:v>Gujarat Titans</x:v>
      </x:c>
      <x:c r="H74" s="17" t="str">
        <x:v>Loss</x:v>
      </x:c>
      <x:c r="I74" s="81" t="n">
        <x:v>0</x:v>
      </x:c>
      <x:c r="J74" s="83" t="n">
        <x:f>--AND(OR(D74=Dashboard!$B$4,Dashboard!$B$4="All Venues"),B74&gt;=Dashboard!$E$4,B74&lt;=Dashboard!$H$4)</x:f>
        <x:v>1</x:v>
      </x:c>
    </x:row>
    <x:row r="75">
      <x:c r="A75" s="17" t="n">
        <x:v>37</x:v>
      </x:c>
      <x:c r="B75" s="80" t="n">
        <x:v>45403</x:v>
      </x:c>
      <x:c r="C75" s="17" t="n">
        <x:v>2024</x:v>
      </x:c>
      <x:c r="D75" s="19" t="str">
        <x:v>PCA New Stadium</x:v>
      </x:c>
      <x:c r="E75" s="19" t="str">
        <x:v>Gujarat Titans</x:v>
      </x:c>
      <x:c r="F75" s="19" t="str">
        <x:v>Punjab Kings</x:v>
      </x:c>
      <x:c r="G75" s="19" t="str">
        <x:v>Gujarat Titans</x:v>
      </x:c>
      <x:c r="H75" s="17" t="str">
        <x:v>Win</x:v>
      </x:c>
      <x:c r="I75" s="81" t="n">
        <x:v>1</x:v>
      </x:c>
      <x:c r="J75" s="83" t="n">
        <x:f>--AND(OR(D75=Dashboard!$B$4,Dashboard!$B$4="All Venues"),B75&gt;=Dashboard!$E$4,B75&lt;=Dashboard!$H$4)</x:f>
        <x:v>1</x:v>
      </x:c>
    </x:row>
    <x:row r="76">
      <x:c r="A76" s="17" t="n">
        <x:v>38</x:v>
      </x:c>
      <x:c r="B76" s="80" t="n">
        <x:v>45404</x:v>
      </x:c>
      <x:c r="C76" s="17" t="n">
        <x:v>2024</x:v>
      </x:c>
      <x:c r="D76" s="19" t="str">
        <x:v>Sawai Mansingh Stadium</x:v>
      </x:c>
      <x:c r="E76" s="19" t="str">
        <x:v>Rajasthan Royals</x:v>
      </x:c>
      <x:c r="F76" s="19" t="str">
        <x:v>Mumbai Indians</x:v>
      </x:c>
      <x:c r="G76" s="19" t="str">
        <x:v>Rajasthan Royals</x:v>
      </x:c>
      <x:c r="H76" s="17" t="str">
        <x:v>Win</x:v>
      </x:c>
      <x:c r="I76" s="81" t="n">
        <x:v>1</x:v>
      </x:c>
      <x:c r="J76" s="83" t="n">
        <x:f>--AND(OR(D76=Dashboard!$B$4,Dashboard!$B$4="All Venues"),B76&gt;=Dashboard!$E$4,B76&lt;=Dashboard!$H$4)</x:f>
        <x:v>1</x:v>
      </x:c>
    </x:row>
    <x:row r="77">
      <x:c r="A77" s="17" t="n">
        <x:v>38</x:v>
      </x:c>
      <x:c r="B77" s="80" t="n">
        <x:v>45404</x:v>
      </x:c>
      <x:c r="C77" s="17" t="n">
        <x:v>2024</x:v>
      </x:c>
      <x:c r="D77" s="19" t="str">
        <x:v>Sawai Mansingh Stadium</x:v>
      </x:c>
      <x:c r="E77" s="19" t="str">
        <x:v>Mumbai Indians</x:v>
      </x:c>
      <x:c r="F77" s="19" t="str">
        <x:v>Rajasthan Royals</x:v>
      </x:c>
      <x:c r="G77" s="19" t="str">
        <x:v>Rajasthan Royals</x:v>
      </x:c>
      <x:c r="H77" s="17" t="str">
        <x:v>Loss</x:v>
      </x:c>
      <x:c r="I77" s="81" t="n">
        <x:v>0</x:v>
      </x:c>
      <x:c r="J77" s="83" t="n">
        <x:f>--AND(OR(D77=Dashboard!$B$4,Dashboard!$B$4="All Venues"),B77&gt;=Dashboard!$E$4,B77&lt;=Dashboard!$H$4)</x:f>
        <x:v>1</x:v>
      </x:c>
    </x:row>
    <x:row r="78">
      <x:c r="A78" s="17" t="n">
        <x:v>39</x:v>
      </x:c>
      <x:c r="B78" s="80" t="n">
        <x:v>45405</x:v>
      </x:c>
      <x:c r="C78" s="17" t="n">
        <x:v>2024</x:v>
      </x:c>
      <x:c r="D78" s="19" t="str">
        <x:v>MA Chidambaram Stadium</x:v>
      </x:c>
      <x:c r="E78" s="19" t="str">
        <x:v>Chennai Super Kings</x:v>
      </x:c>
      <x:c r="F78" s="19" t="str">
        <x:v>Lucknow Super Giants</x:v>
      </x:c>
      <x:c r="G78" s="19" t="str">
        <x:v>Lucknow Super Giants</x:v>
      </x:c>
      <x:c r="H78" s="17" t="str">
        <x:v>Loss</x:v>
      </x:c>
      <x:c r="I78" s="81" t="n">
        <x:v>0</x:v>
      </x:c>
      <x:c r="J78" s="83" t="n">
        <x:f>--AND(OR(D78=Dashboard!$B$4,Dashboard!$B$4="All Venues"),B78&gt;=Dashboard!$E$4,B78&lt;=Dashboard!$H$4)</x:f>
        <x:v>1</x:v>
      </x:c>
    </x:row>
    <x:row r="79">
      <x:c r="A79" s="17" t="n">
        <x:v>39</x:v>
      </x:c>
      <x:c r="B79" s="80" t="n">
        <x:v>45405</x:v>
      </x:c>
      <x:c r="C79" s="17" t="n">
        <x:v>2024</x:v>
      </x:c>
      <x:c r="D79" s="19" t="str">
        <x:v>MA Chidambaram Stadium</x:v>
      </x:c>
      <x:c r="E79" s="19" t="str">
        <x:v>Lucknow Super Giants</x:v>
      </x:c>
      <x:c r="F79" s="19" t="str">
        <x:v>Chennai Super Kings</x:v>
      </x:c>
      <x:c r="G79" s="19" t="str">
        <x:v>Lucknow Super Giants</x:v>
      </x:c>
      <x:c r="H79" s="17" t="str">
        <x:v>Win</x:v>
      </x:c>
      <x:c r="I79" s="81" t="n">
        <x:v>1</x:v>
      </x:c>
      <x:c r="J79" s="83" t="n">
        <x:f>--AND(OR(D79=Dashboard!$B$4,Dashboard!$B$4="All Venues"),B79&gt;=Dashboard!$E$4,B79&lt;=Dashboard!$H$4)</x:f>
        <x:v>1</x:v>
      </x:c>
    </x:row>
    <x:row r="80">
      <x:c r="A80" s="17" t="n">
        <x:v>40</x:v>
      </x:c>
      <x:c r="B80" s="80" t="n">
        <x:v>45406</x:v>
      </x:c>
      <x:c r="C80" s="17" t="n">
        <x:v>2024</x:v>
      </x:c>
      <x:c r="D80" s="19" t="str">
        <x:v>Arun Jaitley Stadium</x:v>
      </x:c>
      <x:c r="E80" s="19" t="str">
        <x:v>Delhi Capitals</x:v>
      </x:c>
      <x:c r="F80" s="19" t="str">
        <x:v>Gujarat Titans</x:v>
      </x:c>
      <x:c r="G80" s="19" t="str">
        <x:v>Delhi Capitals</x:v>
      </x:c>
      <x:c r="H80" s="17" t="str">
        <x:v>Win</x:v>
      </x:c>
      <x:c r="I80" s="81" t="n">
        <x:v>1</x:v>
      </x:c>
      <x:c r="J80" s="83" t="n">
        <x:f>--AND(OR(D80=Dashboard!$B$4,Dashboard!$B$4="All Venues"),B80&gt;=Dashboard!$E$4,B80&lt;=Dashboard!$H$4)</x:f>
        <x:v>1</x:v>
      </x:c>
    </x:row>
    <x:row r="81">
      <x:c r="A81" s="17" t="n">
        <x:v>40</x:v>
      </x:c>
      <x:c r="B81" s="80" t="n">
        <x:v>45406</x:v>
      </x:c>
      <x:c r="C81" s="17" t="n">
        <x:v>2024</x:v>
      </x:c>
      <x:c r="D81" s="19" t="str">
        <x:v>Arun Jaitley Stadium</x:v>
      </x:c>
      <x:c r="E81" s="19" t="str">
        <x:v>Gujarat Titans</x:v>
      </x:c>
      <x:c r="F81" s="19" t="str">
        <x:v>Delhi Capitals</x:v>
      </x:c>
      <x:c r="G81" s="19" t="str">
        <x:v>Delhi Capitals</x:v>
      </x:c>
      <x:c r="H81" s="17" t="str">
        <x:v>Loss</x:v>
      </x:c>
      <x:c r="I81" s="81" t="n">
        <x:v>0</x:v>
      </x:c>
      <x:c r="J81" s="83" t="n">
        <x:f>--AND(OR(D81=Dashboard!$B$4,Dashboard!$B$4="All Venues"),B81&gt;=Dashboard!$E$4,B81&lt;=Dashboard!$H$4)</x:f>
        <x:v>1</x:v>
      </x:c>
    </x:row>
    <x:row r="82">
      <x:c r="A82" s="17" t="n">
        <x:v>41</x:v>
      </x:c>
      <x:c r="B82" s="80" t="n">
        <x:v>45407</x:v>
      </x:c>
      <x:c r="C82" s="17" t="n">
        <x:v>2024</x:v>
      </x:c>
      <x:c r="D82" s="19" t="str">
        <x:v>Rajiv Gandhi International Stadium</x:v>
      </x:c>
      <x:c r="E82" s="19" t="str">
        <x:v>Sunrisers Hyderabad</x:v>
      </x:c>
      <x:c r="F82" s="19" t="str">
        <x:v>Royal Challengers Bengaluru</x:v>
      </x:c>
      <x:c r="G82" s="19" t="str">
        <x:v>Sunrisers Hyderabad</x:v>
      </x:c>
      <x:c r="H82" s="17" t="str">
        <x:v>Win</x:v>
      </x:c>
      <x:c r="I82" s="81" t="n">
        <x:v>1</x:v>
      </x:c>
      <x:c r="J82" s="83" t="n">
        <x:f>--AND(OR(D82=Dashboard!$B$4,Dashboard!$B$4="All Venues"),B82&gt;=Dashboard!$E$4,B82&lt;=Dashboard!$H$4)</x:f>
        <x:v>1</x:v>
      </x:c>
    </x:row>
    <x:row r="83">
      <x:c r="A83" s="17" t="n">
        <x:v>41</x:v>
      </x:c>
      <x:c r="B83" s="80" t="n">
        <x:v>45407</x:v>
      </x:c>
      <x:c r="C83" s="17" t="n">
        <x:v>2024</x:v>
      </x:c>
      <x:c r="D83" s="19" t="str">
        <x:v>Rajiv Gandhi International Stadium</x:v>
      </x:c>
      <x:c r="E83" s="19" t="str">
        <x:v>Royal Challengers Bengaluru</x:v>
      </x:c>
      <x:c r="F83" s="19" t="str">
        <x:v>Sunrisers Hyderabad</x:v>
      </x:c>
      <x:c r="G83" s="19" t="str">
        <x:v>Sunrisers Hyderabad</x:v>
      </x:c>
      <x:c r="H83" s="17" t="str">
        <x:v>Loss</x:v>
      </x:c>
      <x:c r="I83" s="81" t="n">
        <x:v>0</x:v>
      </x:c>
      <x:c r="J83" s="83" t="n">
        <x:f>--AND(OR(D83=Dashboard!$B$4,Dashboard!$B$4="All Venues"),B83&gt;=Dashboard!$E$4,B83&lt;=Dashboard!$H$4)</x:f>
        <x:v>1</x:v>
      </x:c>
    </x:row>
    <x:row r="84">
      <x:c r="A84" s="17" t="n">
        <x:v>42</x:v>
      </x:c>
      <x:c r="B84" s="80" t="n">
        <x:v>45408</x:v>
      </x:c>
      <x:c r="C84" s="17" t="n">
        <x:v>2024</x:v>
      </x:c>
      <x:c r="D84" s="19" t="str">
        <x:v>Eden Gardens</x:v>
      </x:c>
      <x:c r="E84" s="19" t="str">
        <x:v>Kolkata Knight Riders</x:v>
      </x:c>
      <x:c r="F84" s="19" t="str">
        <x:v>Punjab Kings</x:v>
      </x:c>
      <x:c r="G84" s="19" t="str">
        <x:v>Punjab Kings</x:v>
      </x:c>
      <x:c r="H84" s="17" t="str">
        <x:v>Loss</x:v>
      </x:c>
      <x:c r="I84" s="81" t="n">
        <x:v>0</x:v>
      </x:c>
      <x:c r="J84" s="83" t="n">
        <x:f>--AND(OR(D84=Dashboard!$B$4,Dashboard!$B$4="All Venues"),B84&gt;=Dashboard!$E$4,B84&lt;=Dashboard!$H$4)</x:f>
        <x:v>1</x:v>
      </x:c>
    </x:row>
    <x:row r="85">
      <x:c r="A85" s="17" t="n">
        <x:v>42</x:v>
      </x:c>
      <x:c r="B85" s="80" t="n">
        <x:v>45408</x:v>
      </x:c>
      <x:c r="C85" s="17" t="n">
        <x:v>2024</x:v>
      </x:c>
      <x:c r="D85" s="19" t="str">
        <x:v>Eden Gardens</x:v>
      </x:c>
      <x:c r="E85" s="19" t="str">
        <x:v>Punjab Kings</x:v>
      </x:c>
      <x:c r="F85" s="19" t="str">
        <x:v>Kolkata Knight Riders</x:v>
      </x:c>
      <x:c r="G85" s="19" t="str">
        <x:v>Punjab Kings</x:v>
      </x:c>
      <x:c r="H85" s="17" t="str">
        <x:v>Win</x:v>
      </x:c>
      <x:c r="I85" s="81" t="n">
        <x:v>1</x:v>
      </x:c>
      <x:c r="J85" s="83" t="n">
        <x:f>--AND(OR(D85=Dashboard!$B$4,Dashboard!$B$4="All Venues"),B85&gt;=Dashboard!$E$4,B85&lt;=Dashboard!$H$4)</x:f>
        <x:v>1</x:v>
      </x:c>
    </x:row>
    <x:row r="86">
      <x:c r="A86" s="17" t="n">
        <x:v>43</x:v>
      </x:c>
      <x:c r="B86" s="80" t="n">
        <x:v>45409</x:v>
      </x:c>
      <x:c r="C86" s="17" t="n">
        <x:v>2024</x:v>
      </x:c>
      <x:c r="D86" s="19" t="str">
        <x:v>Arun Jaitley Stadium</x:v>
      </x:c>
      <x:c r="E86" s="19" t="str">
        <x:v>Delhi Capitals</x:v>
      </x:c>
      <x:c r="F86" s="19" t="str">
        <x:v>Mumbai Indians</x:v>
      </x:c>
      <x:c r="G86" s="19" t="str">
        <x:v>Delhi Capitals</x:v>
      </x:c>
      <x:c r="H86" s="17" t="str">
        <x:v>Win</x:v>
      </x:c>
      <x:c r="I86" s="81" t="n">
        <x:v>1</x:v>
      </x:c>
      <x:c r="J86" s="83" t="n">
        <x:f>--AND(OR(D86=Dashboard!$B$4,Dashboard!$B$4="All Venues"),B86&gt;=Dashboard!$E$4,B86&lt;=Dashboard!$H$4)</x:f>
        <x:v>1</x:v>
      </x:c>
    </x:row>
    <x:row r="87">
      <x:c r="A87" s="17" t="n">
        <x:v>43</x:v>
      </x:c>
      <x:c r="B87" s="80" t="n">
        <x:v>45409</x:v>
      </x:c>
      <x:c r="C87" s="17" t="n">
        <x:v>2024</x:v>
      </x:c>
      <x:c r="D87" s="19" t="str">
        <x:v>Arun Jaitley Stadium</x:v>
      </x:c>
      <x:c r="E87" s="19" t="str">
        <x:v>Mumbai Indians</x:v>
      </x:c>
      <x:c r="F87" s="19" t="str">
        <x:v>Delhi Capitals</x:v>
      </x:c>
      <x:c r="G87" s="19" t="str">
        <x:v>Delhi Capitals</x:v>
      </x:c>
      <x:c r="H87" s="17" t="str">
        <x:v>Loss</x:v>
      </x:c>
      <x:c r="I87" s="81" t="n">
        <x:v>0</x:v>
      </x:c>
      <x:c r="J87" s="83" t="n">
        <x:f>--AND(OR(D87=Dashboard!$B$4,Dashboard!$B$4="All Venues"),B87&gt;=Dashboard!$E$4,B87&lt;=Dashboard!$H$4)</x:f>
        <x:v>1</x:v>
      </x:c>
    </x:row>
    <x:row r="88">
      <x:c r="A88" s="17" t="n">
        <x:v>44</x:v>
      </x:c>
      <x:c r="B88" s="80" t="n">
        <x:v>45409</x:v>
      </x:c>
      <x:c r="C88" s="17" t="n">
        <x:v>2024</x:v>
      </x:c>
      <x:c r="D88" s="19" t="str">
        <x:v>BRSABV Ekana Cricket Stadium</x:v>
      </x:c>
      <x:c r="E88" s="19" t="str">
        <x:v>Lucknow Super Giants</x:v>
      </x:c>
      <x:c r="F88" s="19" t="str">
        <x:v>Rajasthan Royals</x:v>
      </x:c>
      <x:c r="G88" s="19" t="str">
        <x:v>Rajasthan Royals</x:v>
      </x:c>
      <x:c r="H88" s="17" t="str">
        <x:v>Loss</x:v>
      </x:c>
      <x:c r="I88" s="81" t="n">
        <x:v>0</x:v>
      </x:c>
      <x:c r="J88" s="83" t="n">
        <x:f>--AND(OR(D88=Dashboard!$B$4,Dashboard!$B$4="All Venues"),B88&gt;=Dashboard!$E$4,B88&lt;=Dashboard!$H$4)</x:f>
        <x:v>1</x:v>
      </x:c>
    </x:row>
    <x:row r="89">
      <x:c r="A89" s="17" t="n">
        <x:v>44</x:v>
      </x:c>
      <x:c r="B89" s="80" t="n">
        <x:v>45409</x:v>
      </x:c>
      <x:c r="C89" s="17" t="n">
        <x:v>2024</x:v>
      </x:c>
      <x:c r="D89" s="19" t="str">
        <x:v>BRSABV Ekana Cricket Stadium</x:v>
      </x:c>
      <x:c r="E89" s="19" t="str">
        <x:v>Rajasthan Royals</x:v>
      </x:c>
      <x:c r="F89" s="19" t="str">
        <x:v>Lucknow Super Giants</x:v>
      </x:c>
      <x:c r="G89" s="19" t="str">
        <x:v>Rajasthan Royals</x:v>
      </x:c>
      <x:c r="H89" s="17" t="str">
        <x:v>Win</x:v>
      </x:c>
      <x:c r="I89" s="81" t="n">
        <x:v>1</x:v>
      </x:c>
      <x:c r="J89" s="83" t="n">
        <x:f>--AND(OR(D89=Dashboard!$B$4,Dashboard!$B$4="All Venues"),B89&gt;=Dashboard!$E$4,B89&lt;=Dashboard!$H$4)</x:f>
        <x:v>1</x:v>
      </x:c>
    </x:row>
    <x:row r="90">
      <x:c r="A90" s="17" t="n">
        <x:v>45</x:v>
      </x:c>
      <x:c r="B90" s="80" t="n">
        <x:v>45410</x:v>
      </x:c>
      <x:c r="C90" s="17" t="n">
        <x:v>2024</x:v>
      </x:c>
      <x:c r="D90" s="19" t="str">
        <x:v>Narendra Modi Stadium</x:v>
      </x:c>
      <x:c r="E90" s="19" t="str">
        <x:v>Gujarat Titans</x:v>
      </x:c>
      <x:c r="F90" s="19" t="str">
        <x:v>Royal Challengers Bengaluru</x:v>
      </x:c>
      <x:c r="G90" s="19" t="str">
        <x:v>Royal Challengers Bengaluru</x:v>
      </x:c>
      <x:c r="H90" s="17" t="str">
        <x:v>Loss</x:v>
      </x:c>
      <x:c r="I90" s="81" t="n">
        <x:v>0</x:v>
      </x:c>
      <x:c r="J90" s="83" t="n">
        <x:f>--AND(OR(D90=Dashboard!$B$4,Dashboard!$B$4="All Venues"),B90&gt;=Dashboard!$E$4,B90&lt;=Dashboard!$H$4)</x:f>
        <x:v>1</x:v>
      </x:c>
    </x:row>
    <x:row r="91">
      <x:c r="A91" s="17" t="n">
        <x:v>45</x:v>
      </x:c>
      <x:c r="B91" s="80" t="n">
        <x:v>45410</x:v>
      </x:c>
      <x:c r="C91" s="17" t="n">
        <x:v>2024</x:v>
      </x:c>
      <x:c r="D91" s="19" t="str">
        <x:v>Narendra Modi Stadium</x:v>
      </x:c>
      <x:c r="E91" s="19" t="str">
        <x:v>Royal Challengers Bengaluru</x:v>
      </x:c>
      <x:c r="F91" s="19" t="str">
        <x:v>Gujarat Titans</x:v>
      </x:c>
      <x:c r="G91" s="19" t="str">
        <x:v>Royal Challengers Bengaluru</x:v>
      </x:c>
      <x:c r="H91" s="17" t="str">
        <x:v>Win</x:v>
      </x:c>
      <x:c r="I91" s="81" t="n">
        <x:v>1</x:v>
      </x:c>
      <x:c r="J91" s="83" t="n">
        <x:f>--AND(OR(D91=Dashboard!$B$4,Dashboard!$B$4="All Venues"),B91&gt;=Dashboard!$E$4,B91&lt;=Dashboard!$H$4)</x:f>
        <x:v>1</x:v>
      </x:c>
    </x:row>
    <x:row r="92">
      <x:c r="A92" s="17" t="n">
        <x:v>46</x:v>
      </x:c>
      <x:c r="B92" s="80" t="n">
        <x:v>45410</x:v>
      </x:c>
      <x:c r="C92" s="17" t="n">
        <x:v>2024</x:v>
      </x:c>
      <x:c r="D92" s="19" t="str">
        <x:v>MA Chidambaram Stadium</x:v>
      </x:c>
      <x:c r="E92" s="19" t="str">
        <x:v>Chennai Super Kings</x:v>
      </x:c>
      <x:c r="F92" s="19" t="str">
        <x:v>Sunrisers Hyderabad</x:v>
      </x:c>
      <x:c r="G92" s="19" t="str">
        <x:v>Chennai Super Kings</x:v>
      </x:c>
      <x:c r="H92" s="17" t="str">
        <x:v>Win</x:v>
      </x:c>
      <x:c r="I92" s="81" t="n">
        <x:v>1</x:v>
      </x:c>
      <x:c r="J92" s="83" t="n">
        <x:f>--AND(OR(D92=Dashboard!$B$4,Dashboard!$B$4="All Venues"),B92&gt;=Dashboard!$E$4,B92&lt;=Dashboard!$H$4)</x:f>
        <x:v>1</x:v>
      </x:c>
    </x:row>
    <x:row r="93">
      <x:c r="A93" s="17" t="n">
        <x:v>46</x:v>
      </x:c>
      <x:c r="B93" s="80" t="n">
        <x:v>45410</x:v>
      </x:c>
      <x:c r="C93" s="17" t="n">
        <x:v>2024</x:v>
      </x:c>
      <x:c r="D93" s="19" t="str">
        <x:v>MA Chidambaram Stadium</x:v>
      </x:c>
      <x:c r="E93" s="19" t="str">
        <x:v>Sunrisers Hyderabad</x:v>
      </x:c>
      <x:c r="F93" s="19" t="str">
        <x:v>Chennai Super Kings</x:v>
      </x:c>
      <x:c r="G93" s="19" t="str">
        <x:v>Chennai Super Kings</x:v>
      </x:c>
      <x:c r="H93" s="17" t="str">
        <x:v>Loss</x:v>
      </x:c>
      <x:c r="I93" s="81" t="n">
        <x:v>0</x:v>
      </x:c>
      <x:c r="J93" s="83" t="n">
        <x:f>--AND(OR(D93=Dashboard!$B$4,Dashboard!$B$4="All Venues"),B93&gt;=Dashboard!$E$4,B93&lt;=Dashboard!$H$4)</x:f>
        <x:v>1</x:v>
      </x:c>
    </x:row>
    <x:row r="94">
      <x:c r="A94" s="17" t="n">
        <x:v>47</x:v>
      </x:c>
      <x:c r="B94" s="80" t="n">
        <x:v>45411</x:v>
      </x:c>
      <x:c r="C94" s="17" t="n">
        <x:v>2024</x:v>
      </x:c>
      <x:c r="D94" s="19" t="str">
        <x:v>Eden Gardens</x:v>
      </x:c>
      <x:c r="E94" s="19" t="str">
        <x:v>Kolkata Knight Riders</x:v>
      </x:c>
      <x:c r="F94" s="19" t="str">
        <x:v>Delhi Capitals</x:v>
      </x:c>
      <x:c r="G94" s="19" t="str">
        <x:v>Kolkata Knight Riders</x:v>
      </x:c>
      <x:c r="H94" s="17" t="str">
        <x:v>Win</x:v>
      </x:c>
      <x:c r="I94" s="81" t="n">
        <x:v>1</x:v>
      </x:c>
      <x:c r="J94" s="83" t="n">
        <x:f>--AND(OR(D94=Dashboard!$B$4,Dashboard!$B$4="All Venues"),B94&gt;=Dashboard!$E$4,B94&lt;=Dashboard!$H$4)</x:f>
        <x:v>1</x:v>
      </x:c>
    </x:row>
    <x:row r="95">
      <x:c r="A95" s="17" t="n">
        <x:v>47</x:v>
      </x:c>
      <x:c r="B95" s="80" t="n">
        <x:v>45411</x:v>
      </x:c>
      <x:c r="C95" s="17" t="n">
        <x:v>2024</x:v>
      </x:c>
      <x:c r="D95" s="19" t="str">
        <x:v>Eden Gardens</x:v>
      </x:c>
      <x:c r="E95" s="19" t="str">
        <x:v>Delhi Capitals</x:v>
      </x:c>
      <x:c r="F95" s="19" t="str">
        <x:v>Kolkata Knight Riders</x:v>
      </x:c>
      <x:c r="G95" s="19" t="str">
        <x:v>Kolkata Knight Riders</x:v>
      </x:c>
      <x:c r="H95" s="17" t="str">
        <x:v>Loss</x:v>
      </x:c>
      <x:c r="I95" s="81" t="n">
        <x:v>0</x:v>
      </x:c>
      <x:c r="J95" s="83" t="n">
        <x:f>--AND(OR(D95=Dashboard!$B$4,Dashboard!$B$4="All Venues"),B95&gt;=Dashboard!$E$4,B95&lt;=Dashboard!$H$4)</x:f>
        <x:v>1</x:v>
      </x:c>
    </x:row>
    <x:row r="96">
      <x:c r="A96" s="17" t="n">
        <x:v>48</x:v>
      </x:c>
      <x:c r="B96" s="80" t="n">
        <x:v>45412</x:v>
      </x:c>
      <x:c r="C96" s="17" t="n">
        <x:v>2024</x:v>
      </x:c>
      <x:c r="D96" s="19" t="str">
        <x:v>BRSABV Ekana Cricket Stadium</x:v>
      </x:c>
      <x:c r="E96" s="19" t="str">
        <x:v>Lucknow Super Giants</x:v>
      </x:c>
      <x:c r="F96" s="19" t="str">
        <x:v>Mumbai Indians</x:v>
      </x:c>
      <x:c r="G96" s="19" t="str">
        <x:v>Lucknow Super Giants</x:v>
      </x:c>
      <x:c r="H96" s="17" t="str">
        <x:v>Win</x:v>
      </x:c>
      <x:c r="I96" s="81" t="n">
        <x:v>1</x:v>
      </x:c>
      <x:c r="J96" s="83" t="n">
        <x:f>--AND(OR(D96=Dashboard!$B$4,Dashboard!$B$4="All Venues"),B96&gt;=Dashboard!$E$4,B96&lt;=Dashboard!$H$4)</x:f>
        <x:v>1</x:v>
      </x:c>
    </x:row>
    <x:row r="97">
      <x:c r="A97" s="17" t="n">
        <x:v>48</x:v>
      </x:c>
      <x:c r="B97" s="80" t="n">
        <x:v>45412</x:v>
      </x:c>
      <x:c r="C97" s="17" t="n">
        <x:v>2024</x:v>
      </x:c>
      <x:c r="D97" s="19" t="str">
        <x:v>BRSABV Ekana Cricket Stadium</x:v>
      </x:c>
      <x:c r="E97" s="19" t="str">
        <x:v>Mumbai Indians</x:v>
      </x:c>
      <x:c r="F97" s="19" t="str">
        <x:v>Lucknow Super Giants</x:v>
      </x:c>
      <x:c r="G97" s="19" t="str">
        <x:v>Lucknow Super Giants</x:v>
      </x:c>
      <x:c r="H97" s="17" t="str">
        <x:v>Loss</x:v>
      </x:c>
      <x:c r="I97" s="81" t="n">
        <x:v>0</x:v>
      </x:c>
      <x:c r="J97" s="83" t="n">
        <x:f>--AND(OR(D97=Dashboard!$B$4,Dashboard!$B$4="All Venues"),B97&gt;=Dashboard!$E$4,B97&lt;=Dashboard!$H$4)</x:f>
        <x:v>1</x:v>
      </x:c>
    </x:row>
    <x:row r="98">
      <x:c r="A98" s="17" t="n">
        <x:v>49</x:v>
      </x:c>
      <x:c r="B98" s="80" t="n">
        <x:v>45413</x:v>
      </x:c>
      <x:c r="C98" s="17" t="n">
        <x:v>2024</x:v>
      </x:c>
      <x:c r="D98" s="19" t="str">
        <x:v>MA Chidambaram Stadium</x:v>
      </x:c>
      <x:c r="E98" s="19" t="str">
        <x:v>Chennai Super Kings</x:v>
      </x:c>
      <x:c r="F98" s="19" t="str">
        <x:v>Punjab Kings</x:v>
      </x:c>
      <x:c r="G98" s="19" t="str">
        <x:v>Punjab Kings</x:v>
      </x:c>
      <x:c r="H98" s="17" t="str">
        <x:v>Loss</x:v>
      </x:c>
      <x:c r="I98" s="81" t="n">
        <x:v>0</x:v>
      </x:c>
      <x:c r="J98" s="83" t="n">
        <x:f>--AND(OR(D98=Dashboard!$B$4,Dashboard!$B$4="All Venues"),B98&gt;=Dashboard!$E$4,B98&lt;=Dashboard!$H$4)</x:f>
        <x:v>1</x:v>
      </x:c>
    </x:row>
    <x:row r="99">
      <x:c r="A99" s="17" t="n">
        <x:v>49</x:v>
      </x:c>
      <x:c r="B99" s="80" t="n">
        <x:v>45413</x:v>
      </x:c>
      <x:c r="C99" s="17" t="n">
        <x:v>2024</x:v>
      </x:c>
      <x:c r="D99" s="19" t="str">
        <x:v>MA Chidambaram Stadium</x:v>
      </x:c>
      <x:c r="E99" s="19" t="str">
        <x:v>Punjab Kings</x:v>
      </x:c>
      <x:c r="F99" s="19" t="str">
        <x:v>Chennai Super Kings</x:v>
      </x:c>
      <x:c r="G99" s="19" t="str">
        <x:v>Punjab Kings</x:v>
      </x:c>
      <x:c r="H99" s="17" t="str">
        <x:v>Win</x:v>
      </x:c>
      <x:c r="I99" s="81" t="n">
        <x:v>1</x:v>
      </x:c>
      <x:c r="J99" s="83" t="n">
        <x:f>--AND(OR(D99=Dashboard!$B$4,Dashboard!$B$4="All Venues"),B99&gt;=Dashboard!$E$4,B99&lt;=Dashboard!$H$4)</x:f>
        <x:v>1</x:v>
      </x:c>
    </x:row>
    <x:row r="100">
      <x:c r="A100" s="17" t="n">
        <x:v>50</x:v>
      </x:c>
      <x:c r="B100" s="80" t="n">
        <x:v>45414</x:v>
      </x:c>
      <x:c r="C100" s="17" t="n">
        <x:v>2024</x:v>
      </x:c>
      <x:c r="D100" s="19" t="str">
        <x:v>Rajiv Gandhi International Stadium</x:v>
      </x:c>
      <x:c r="E100" s="19" t="str">
        <x:v>Sunrisers Hyderabad</x:v>
      </x:c>
      <x:c r="F100" s="19" t="str">
        <x:v>Rajasthan Royals</x:v>
      </x:c>
      <x:c r="G100" s="19" t="str">
        <x:v>Sunrisers Hyderabad</x:v>
      </x:c>
      <x:c r="H100" s="17" t="str">
        <x:v>Win</x:v>
      </x:c>
      <x:c r="I100" s="81" t="n">
        <x:v>1</x:v>
      </x:c>
      <x:c r="J100" s="83" t="n">
        <x:f>--AND(OR(D100=Dashboard!$B$4,Dashboard!$B$4="All Venues"),B100&gt;=Dashboard!$E$4,B100&lt;=Dashboard!$H$4)</x:f>
        <x:v>1</x:v>
      </x:c>
    </x:row>
    <x:row r="101">
      <x:c r="A101" s="17" t="n">
        <x:v>50</x:v>
      </x:c>
      <x:c r="B101" s="80" t="n">
        <x:v>45414</x:v>
      </x:c>
      <x:c r="C101" s="17" t="n">
        <x:v>2024</x:v>
      </x:c>
      <x:c r="D101" s="19" t="str">
        <x:v>Rajiv Gandhi International Stadium</x:v>
      </x:c>
      <x:c r="E101" s="19" t="str">
        <x:v>Rajasthan Royals</x:v>
      </x:c>
      <x:c r="F101" s="19" t="str">
        <x:v>Sunrisers Hyderabad</x:v>
      </x:c>
      <x:c r="G101" s="19" t="str">
        <x:v>Sunrisers Hyderabad</x:v>
      </x:c>
      <x:c r="H101" s="17" t="str">
        <x:v>Loss</x:v>
      </x:c>
      <x:c r="I101" s="81" t="n">
        <x:v>0</x:v>
      </x:c>
      <x:c r="J101" s="83" t="n">
        <x:f>--AND(OR(D101=Dashboard!$B$4,Dashboard!$B$4="All Venues"),B101&gt;=Dashboard!$E$4,B101&lt;=Dashboard!$H$4)</x:f>
        <x:v>1</x:v>
      </x:c>
    </x:row>
    <x:row r="102">
      <x:c r="A102" s="17" t="n">
        <x:v>51</x:v>
      </x:c>
      <x:c r="B102" s="80" t="n">
        <x:v>45415</x:v>
      </x:c>
      <x:c r="C102" s="17" t="n">
        <x:v>2024</x:v>
      </x:c>
      <x:c r="D102" s="19" t="str">
        <x:v>Wankhede Stadium</x:v>
      </x:c>
      <x:c r="E102" s="19" t="str">
        <x:v>Mumbai Indians</x:v>
      </x:c>
      <x:c r="F102" s="19" t="str">
        <x:v>Kolkata Knight Riders</x:v>
      </x:c>
      <x:c r="G102" s="19" t="str">
        <x:v>Kolkata Knight Riders</x:v>
      </x:c>
      <x:c r="H102" s="17" t="str">
        <x:v>Loss</x:v>
      </x:c>
      <x:c r="I102" s="81" t="n">
        <x:v>0</x:v>
      </x:c>
      <x:c r="J102" s="83" t="n">
        <x:f>--AND(OR(D102=Dashboard!$B$4,Dashboard!$B$4="All Venues"),B102&gt;=Dashboard!$E$4,B102&lt;=Dashboard!$H$4)</x:f>
        <x:v>1</x:v>
      </x:c>
    </x:row>
    <x:row r="103">
      <x:c r="A103" s="17" t="n">
        <x:v>51</x:v>
      </x:c>
      <x:c r="B103" s="80" t="n">
        <x:v>45415</x:v>
      </x:c>
      <x:c r="C103" s="17" t="n">
        <x:v>2024</x:v>
      </x:c>
      <x:c r="D103" s="19" t="str">
        <x:v>Wankhede Stadium</x:v>
      </x:c>
      <x:c r="E103" s="19" t="str">
        <x:v>Kolkata Knight Riders</x:v>
      </x:c>
      <x:c r="F103" s="19" t="str">
        <x:v>Mumbai Indians</x:v>
      </x:c>
      <x:c r="G103" s="19" t="str">
        <x:v>Kolkata Knight Riders</x:v>
      </x:c>
      <x:c r="H103" s="17" t="str">
        <x:v>Win</x:v>
      </x:c>
      <x:c r="I103" s="81" t="n">
        <x:v>1</x:v>
      </x:c>
      <x:c r="J103" s="83" t="n">
        <x:f>--AND(OR(D103=Dashboard!$B$4,Dashboard!$B$4="All Venues"),B103&gt;=Dashboard!$E$4,B103&lt;=Dashboard!$H$4)</x:f>
        <x:v>1</x:v>
      </x:c>
    </x:row>
    <x:row r="104">
      <x:c r="A104" s="17" t="n">
        <x:v>52</x:v>
      </x:c>
      <x:c r="B104" s="80" t="n">
        <x:v>45416</x:v>
      </x:c>
      <x:c r="C104" s="17" t="n">
        <x:v>2024</x:v>
      </x:c>
      <x:c r="D104" s="19" t="str">
        <x:v>M Chinnaswamy Stadium</x:v>
      </x:c>
      <x:c r="E104" s="19" t="str">
        <x:v>Royal Challengers Bengaluru</x:v>
      </x:c>
      <x:c r="F104" s="19" t="str">
        <x:v>Gujarat Titans</x:v>
      </x:c>
      <x:c r="G104" s="19" t="str">
        <x:v>Royal Challengers Bengaluru</x:v>
      </x:c>
      <x:c r="H104" s="17" t="str">
        <x:v>Win</x:v>
      </x:c>
      <x:c r="I104" s="81" t="n">
        <x:v>1</x:v>
      </x:c>
      <x:c r="J104" s="83" t="n">
        <x:f>--AND(OR(D104=Dashboard!$B$4,Dashboard!$B$4="All Venues"),B104&gt;=Dashboard!$E$4,B104&lt;=Dashboard!$H$4)</x:f>
        <x:v>1</x:v>
      </x:c>
    </x:row>
    <x:row r="105">
      <x:c r="A105" s="17" t="n">
        <x:v>52</x:v>
      </x:c>
      <x:c r="B105" s="80" t="n">
        <x:v>45416</x:v>
      </x:c>
      <x:c r="C105" s="17" t="n">
        <x:v>2024</x:v>
      </x:c>
      <x:c r="D105" s="19" t="str">
        <x:v>M Chinnaswamy Stadium</x:v>
      </x:c>
      <x:c r="E105" s="19" t="str">
        <x:v>Gujarat Titans</x:v>
      </x:c>
      <x:c r="F105" s="19" t="str">
        <x:v>Royal Challengers Bengaluru</x:v>
      </x:c>
      <x:c r="G105" s="19" t="str">
        <x:v>Royal Challengers Bengaluru</x:v>
      </x:c>
      <x:c r="H105" s="17" t="str">
        <x:v>Loss</x:v>
      </x:c>
      <x:c r="I105" s="81" t="n">
        <x:v>0</x:v>
      </x:c>
      <x:c r="J105" s="83" t="n">
        <x:f>--AND(OR(D105=Dashboard!$B$4,Dashboard!$B$4="All Venues"),B105&gt;=Dashboard!$E$4,B105&lt;=Dashboard!$H$4)</x:f>
        <x:v>1</x:v>
      </x:c>
    </x:row>
    <x:row r="106">
      <x:c r="A106" s="17" t="n">
        <x:v>53</x:v>
      </x:c>
      <x:c r="B106" s="80" t="n">
        <x:v>45417</x:v>
      </x:c>
      <x:c r="C106" s="17" t="n">
        <x:v>2024</x:v>
      </x:c>
      <x:c r="D106" s="19" t="str">
        <x:v>Himachal Pradesh Cricket Association Stadium</x:v>
      </x:c>
      <x:c r="E106" s="19" t="str">
        <x:v>Punjab Kings</x:v>
      </x:c>
      <x:c r="F106" s="19" t="str">
        <x:v>Chennai Super Kings</x:v>
      </x:c>
      <x:c r="G106" s="19" t="str">
        <x:v>Chennai Super Kings</x:v>
      </x:c>
      <x:c r="H106" s="17" t="str">
        <x:v>Loss</x:v>
      </x:c>
      <x:c r="I106" s="81" t="n">
        <x:v>0</x:v>
      </x:c>
      <x:c r="J106" s="83" t="n">
        <x:f>--AND(OR(D106=Dashboard!$B$4,Dashboard!$B$4="All Venues"),B106&gt;=Dashboard!$E$4,B106&lt;=Dashboard!$H$4)</x:f>
        <x:v>1</x:v>
      </x:c>
    </x:row>
    <x:row r="107">
      <x:c r="A107" s="17" t="n">
        <x:v>53</x:v>
      </x:c>
      <x:c r="B107" s="80" t="n">
        <x:v>45417</x:v>
      </x:c>
      <x:c r="C107" s="17" t="n">
        <x:v>2024</x:v>
      </x:c>
      <x:c r="D107" s="19" t="str">
        <x:v>Himachal Pradesh Cricket Association Stadium</x:v>
      </x:c>
      <x:c r="E107" s="19" t="str">
        <x:v>Chennai Super Kings</x:v>
      </x:c>
      <x:c r="F107" s="19" t="str">
        <x:v>Punjab Kings</x:v>
      </x:c>
      <x:c r="G107" s="19" t="str">
        <x:v>Chennai Super Kings</x:v>
      </x:c>
      <x:c r="H107" s="17" t="str">
        <x:v>Win</x:v>
      </x:c>
      <x:c r="I107" s="81" t="n">
        <x:v>1</x:v>
      </x:c>
      <x:c r="J107" s="83" t="n">
        <x:f>--AND(OR(D107=Dashboard!$B$4,Dashboard!$B$4="All Venues"),B107&gt;=Dashboard!$E$4,B107&lt;=Dashboard!$H$4)</x:f>
        <x:v>1</x:v>
      </x:c>
    </x:row>
    <x:row r="108">
      <x:c r="A108" s="17" t="n">
        <x:v>54</x:v>
      </x:c>
      <x:c r="B108" s="80" t="n">
        <x:v>45417</x:v>
      </x:c>
      <x:c r="C108" s="17" t="n">
        <x:v>2024</x:v>
      </x:c>
      <x:c r="D108" s="19" t="str">
        <x:v>BRSABV Ekana Cricket Stadium</x:v>
      </x:c>
      <x:c r="E108" s="19" t="str">
        <x:v>Lucknow Super Giants</x:v>
      </x:c>
      <x:c r="F108" s="19" t="str">
        <x:v>Kolkata Knight Riders</x:v>
      </x:c>
      <x:c r="G108" s="19" t="str">
        <x:v>Kolkata Knight Riders</x:v>
      </x:c>
      <x:c r="H108" s="17" t="str">
        <x:v>Loss</x:v>
      </x:c>
      <x:c r="I108" s="81" t="n">
        <x:v>0</x:v>
      </x:c>
      <x:c r="J108" s="83" t="n">
        <x:f>--AND(OR(D108=Dashboard!$B$4,Dashboard!$B$4="All Venues"),B108&gt;=Dashboard!$E$4,B108&lt;=Dashboard!$H$4)</x:f>
        <x:v>1</x:v>
      </x:c>
    </x:row>
    <x:row r="109">
      <x:c r="A109" s="17" t="n">
        <x:v>54</x:v>
      </x:c>
      <x:c r="B109" s="80" t="n">
        <x:v>45417</x:v>
      </x:c>
      <x:c r="C109" s="17" t="n">
        <x:v>2024</x:v>
      </x:c>
      <x:c r="D109" s="19" t="str">
        <x:v>BRSABV Ekana Cricket Stadium</x:v>
      </x:c>
      <x:c r="E109" s="19" t="str">
        <x:v>Kolkata Knight Riders</x:v>
      </x:c>
      <x:c r="F109" s="19" t="str">
        <x:v>Lucknow Super Giants</x:v>
      </x:c>
      <x:c r="G109" s="19" t="str">
        <x:v>Kolkata Knight Riders</x:v>
      </x:c>
      <x:c r="H109" s="17" t="str">
        <x:v>Win</x:v>
      </x:c>
      <x:c r="I109" s="81" t="n">
        <x:v>1</x:v>
      </x:c>
      <x:c r="J109" s="83" t="n">
        <x:f>--AND(OR(D109=Dashboard!$B$4,Dashboard!$B$4="All Venues"),B109&gt;=Dashboard!$E$4,B109&lt;=Dashboard!$H$4)</x:f>
        <x:v>1</x:v>
      </x:c>
    </x:row>
    <x:row r="110">
      <x:c r="A110" s="17" t="n">
        <x:v>55</x:v>
      </x:c>
      <x:c r="B110" s="80" t="n">
        <x:v>45418</x:v>
      </x:c>
      <x:c r="C110" s="17" t="n">
        <x:v>2024</x:v>
      </x:c>
      <x:c r="D110" s="19" t="str">
        <x:v>Wankhede Stadium</x:v>
      </x:c>
      <x:c r="E110" s="19" t="str">
        <x:v>Mumbai Indians</x:v>
      </x:c>
      <x:c r="F110" s="19" t="str">
        <x:v>Sunrisers Hyderabad</x:v>
      </x:c>
      <x:c r="G110" s="19" t="str">
        <x:v>Mumbai Indians</x:v>
      </x:c>
      <x:c r="H110" s="17" t="str">
        <x:v>Win</x:v>
      </x:c>
      <x:c r="I110" s="81" t="n">
        <x:v>1</x:v>
      </x:c>
      <x:c r="J110" s="83" t="n">
        <x:f>--AND(OR(D110=Dashboard!$B$4,Dashboard!$B$4="All Venues"),B110&gt;=Dashboard!$E$4,B110&lt;=Dashboard!$H$4)</x:f>
        <x:v>1</x:v>
      </x:c>
    </x:row>
    <x:row r="111">
      <x:c r="A111" s="17" t="n">
        <x:v>55</x:v>
      </x:c>
      <x:c r="B111" s="80" t="n">
        <x:v>45418</x:v>
      </x:c>
      <x:c r="C111" s="17" t="n">
        <x:v>2024</x:v>
      </x:c>
      <x:c r="D111" s="19" t="str">
        <x:v>Wankhede Stadium</x:v>
      </x:c>
      <x:c r="E111" s="19" t="str">
        <x:v>Sunrisers Hyderabad</x:v>
      </x:c>
      <x:c r="F111" s="19" t="str">
        <x:v>Mumbai Indians</x:v>
      </x:c>
      <x:c r="G111" s="19" t="str">
        <x:v>Mumbai Indians</x:v>
      </x:c>
      <x:c r="H111" s="17" t="str">
        <x:v>Loss</x:v>
      </x:c>
      <x:c r="I111" s="81" t="n">
        <x:v>0</x:v>
      </x:c>
      <x:c r="J111" s="83" t="n">
        <x:f>--AND(OR(D111=Dashboard!$B$4,Dashboard!$B$4="All Venues"),B111&gt;=Dashboard!$E$4,B111&lt;=Dashboard!$H$4)</x:f>
        <x:v>1</x:v>
      </x:c>
    </x:row>
    <x:row r="112">
      <x:c r="A112" s="17" t="n">
        <x:v>56</x:v>
      </x:c>
      <x:c r="B112" s="80" t="n">
        <x:v>45419</x:v>
      </x:c>
      <x:c r="C112" s="17" t="n">
        <x:v>2024</x:v>
      </x:c>
      <x:c r="D112" s="19" t="str">
        <x:v>Arun Jaitley Stadium</x:v>
      </x:c>
      <x:c r="E112" s="19" t="str">
        <x:v>Delhi Capitals</x:v>
      </x:c>
      <x:c r="F112" s="19" t="str">
        <x:v>Rajasthan Royals</x:v>
      </x:c>
      <x:c r="G112" s="19" t="str">
        <x:v>Delhi Capitals</x:v>
      </x:c>
      <x:c r="H112" s="17" t="str">
        <x:v>Win</x:v>
      </x:c>
      <x:c r="I112" s="81" t="n">
        <x:v>1</x:v>
      </x:c>
      <x:c r="J112" s="83" t="n">
        <x:f>--AND(OR(D112=Dashboard!$B$4,Dashboard!$B$4="All Venues"),B112&gt;=Dashboard!$E$4,B112&lt;=Dashboard!$H$4)</x:f>
        <x:v>1</x:v>
      </x:c>
    </x:row>
    <x:row r="113">
      <x:c r="A113" s="17" t="n">
        <x:v>56</x:v>
      </x:c>
      <x:c r="B113" s="80" t="n">
        <x:v>45419</x:v>
      </x:c>
      <x:c r="C113" s="17" t="n">
        <x:v>2024</x:v>
      </x:c>
      <x:c r="D113" s="19" t="str">
        <x:v>Arun Jaitley Stadium</x:v>
      </x:c>
      <x:c r="E113" s="19" t="str">
        <x:v>Rajasthan Royals</x:v>
      </x:c>
      <x:c r="F113" s="19" t="str">
        <x:v>Delhi Capitals</x:v>
      </x:c>
      <x:c r="G113" s="19" t="str">
        <x:v>Delhi Capitals</x:v>
      </x:c>
      <x:c r="H113" s="17" t="str">
        <x:v>Loss</x:v>
      </x:c>
      <x:c r="I113" s="81" t="n">
        <x:v>0</x:v>
      </x:c>
      <x:c r="J113" s="83" t="n">
        <x:f>--AND(OR(D113=Dashboard!$B$4,Dashboard!$B$4="All Venues"),B113&gt;=Dashboard!$E$4,B113&lt;=Dashboard!$H$4)</x:f>
        <x:v>1</x:v>
      </x:c>
    </x:row>
    <x:row r="114">
      <x:c r="A114" s="17" t="n">
        <x:v>57</x:v>
      </x:c>
      <x:c r="B114" s="80" t="n">
        <x:v>45420</x:v>
      </x:c>
      <x:c r="C114" s="17" t="n">
        <x:v>2024</x:v>
      </x:c>
      <x:c r="D114" s="19" t="str">
        <x:v>Rajiv Gandhi International Stadium</x:v>
      </x:c>
      <x:c r="E114" s="19" t="str">
        <x:v>Sunrisers Hyderabad</x:v>
      </x:c>
      <x:c r="F114" s="19" t="str">
        <x:v>Lucknow Super Giants</x:v>
      </x:c>
      <x:c r="G114" s="19" t="str">
        <x:v>Sunrisers Hyderabad</x:v>
      </x:c>
      <x:c r="H114" s="17" t="str">
        <x:v>Win</x:v>
      </x:c>
      <x:c r="I114" s="81" t="n">
        <x:v>1</x:v>
      </x:c>
      <x:c r="J114" s="83" t="n">
        <x:f>--AND(OR(D114=Dashboard!$B$4,Dashboard!$B$4="All Venues"),B114&gt;=Dashboard!$E$4,B114&lt;=Dashboard!$H$4)</x:f>
        <x:v>1</x:v>
      </x:c>
    </x:row>
    <x:row r="115">
      <x:c r="A115" s="17" t="n">
        <x:v>57</x:v>
      </x:c>
      <x:c r="B115" s="80" t="n">
        <x:v>45420</x:v>
      </x:c>
      <x:c r="C115" s="17" t="n">
        <x:v>2024</x:v>
      </x:c>
      <x:c r="D115" s="19" t="str">
        <x:v>Rajiv Gandhi International Stadium</x:v>
      </x:c>
      <x:c r="E115" s="19" t="str">
        <x:v>Lucknow Super Giants</x:v>
      </x:c>
      <x:c r="F115" s="19" t="str">
        <x:v>Sunrisers Hyderabad</x:v>
      </x:c>
      <x:c r="G115" s="19" t="str">
        <x:v>Sunrisers Hyderabad</x:v>
      </x:c>
      <x:c r="H115" s="17" t="str">
        <x:v>Loss</x:v>
      </x:c>
      <x:c r="I115" s="81" t="n">
        <x:v>0</x:v>
      </x:c>
      <x:c r="J115" s="83" t="n">
        <x:f>--AND(OR(D115=Dashboard!$B$4,Dashboard!$B$4="All Venues"),B115&gt;=Dashboard!$E$4,B115&lt;=Dashboard!$H$4)</x:f>
        <x:v>1</x:v>
      </x:c>
    </x:row>
    <x:row r="116">
      <x:c r="A116" s="17" t="n">
        <x:v>58</x:v>
      </x:c>
      <x:c r="B116" s="80" t="n">
        <x:v>45421</x:v>
      </x:c>
      <x:c r="C116" s="17" t="n">
        <x:v>2024</x:v>
      </x:c>
      <x:c r="D116" s="19" t="str">
        <x:v>Himachal Pradesh Cricket Association Stadium</x:v>
      </x:c>
      <x:c r="E116" s="19" t="str">
        <x:v>Punjab Kings</x:v>
      </x:c>
      <x:c r="F116" s="19" t="str">
        <x:v>Royal Challengers Bengaluru</x:v>
      </x:c>
      <x:c r="G116" s="19" t="str">
        <x:v>Royal Challengers Bengaluru</x:v>
      </x:c>
      <x:c r="H116" s="17" t="str">
        <x:v>Loss</x:v>
      </x:c>
      <x:c r="I116" s="81" t="n">
        <x:v>0</x:v>
      </x:c>
      <x:c r="J116" s="83" t="n">
        <x:f>--AND(OR(D116=Dashboard!$B$4,Dashboard!$B$4="All Venues"),B116&gt;=Dashboard!$E$4,B116&lt;=Dashboard!$H$4)</x:f>
        <x:v>1</x:v>
      </x:c>
    </x:row>
    <x:row r="117">
      <x:c r="A117" s="17" t="n">
        <x:v>58</x:v>
      </x:c>
      <x:c r="B117" s="80" t="n">
        <x:v>45421</x:v>
      </x:c>
      <x:c r="C117" s="17" t="n">
        <x:v>2024</x:v>
      </x:c>
      <x:c r="D117" s="19" t="str">
        <x:v>Himachal Pradesh Cricket Association Stadium</x:v>
      </x:c>
      <x:c r="E117" s="19" t="str">
        <x:v>Royal Challengers Bengaluru</x:v>
      </x:c>
      <x:c r="F117" s="19" t="str">
        <x:v>Punjab Kings</x:v>
      </x:c>
      <x:c r="G117" s="19" t="str">
        <x:v>Royal Challengers Bengaluru</x:v>
      </x:c>
      <x:c r="H117" s="17" t="str">
        <x:v>Win</x:v>
      </x:c>
      <x:c r="I117" s="81" t="n">
        <x:v>1</x:v>
      </x:c>
      <x:c r="J117" s="83" t="n">
        <x:f>--AND(OR(D117=Dashboard!$B$4,Dashboard!$B$4="All Venues"),B117&gt;=Dashboard!$E$4,B117&lt;=Dashboard!$H$4)</x:f>
        <x:v>1</x:v>
      </x:c>
    </x:row>
    <x:row r="118">
      <x:c r="A118" s="17" t="n">
        <x:v>59</x:v>
      </x:c>
      <x:c r="B118" s="80" t="n">
        <x:v>45422</x:v>
      </x:c>
      <x:c r="C118" s="17" t="n">
        <x:v>2024</x:v>
      </x:c>
      <x:c r="D118" s="19" t="str">
        <x:v>Narendra Modi Stadium</x:v>
      </x:c>
      <x:c r="E118" s="19" t="str">
        <x:v>Gujarat Titans</x:v>
      </x:c>
      <x:c r="F118" s="19" t="str">
        <x:v>Chennai Super Kings</x:v>
      </x:c>
      <x:c r="G118" s="19" t="str">
        <x:v>Gujarat Titans</x:v>
      </x:c>
      <x:c r="H118" s="17" t="str">
        <x:v>Win</x:v>
      </x:c>
      <x:c r="I118" s="81" t="n">
        <x:v>1</x:v>
      </x:c>
      <x:c r="J118" s="83" t="n">
        <x:f>--AND(OR(D118=Dashboard!$B$4,Dashboard!$B$4="All Venues"),B118&gt;=Dashboard!$E$4,B118&lt;=Dashboard!$H$4)</x:f>
        <x:v>1</x:v>
      </x:c>
    </x:row>
    <x:row r="119">
      <x:c r="A119" s="17" t="n">
        <x:v>59</x:v>
      </x:c>
      <x:c r="B119" s="80" t="n">
        <x:v>45422</x:v>
      </x:c>
      <x:c r="C119" s="17" t="n">
        <x:v>2024</x:v>
      </x:c>
      <x:c r="D119" s="19" t="str">
        <x:v>Narendra Modi Stadium</x:v>
      </x:c>
      <x:c r="E119" s="19" t="str">
        <x:v>Chennai Super Kings</x:v>
      </x:c>
      <x:c r="F119" s="19" t="str">
        <x:v>Gujarat Titans</x:v>
      </x:c>
      <x:c r="G119" s="19" t="str">
        <x:v>Gujarat Titans</x:v>
      </x:c>
      <x:c r="H119" s="17" t="str">
        <x:v>Loss</x:v>
      </x:c>
      <x:c r="I119" s="81" t="n">
        <x:v>0</x:v>
      </x:c>
      <x:c r="J119" s="83" t="n">
        <x:f>--AND(OR(D119=Dashboard!$B$4,Dashboard!$B$4="All Venues"),B119&gt;=Dashboard!$E$4,B119&lt;=Dashboard!$H$4)</x:f>
        <x:v>1</x:v>
      </x:c>
    </x:row>
    <x:row r="120">
      <x:c r="A120" s="17" t="n">
        <x:v>60</x:v>
      </x:c>
      <x:c r="B120" s="80" t="n">
        <x:v>45423</x:v>
      </x:c>
      <x:c r="C120" s="17" t="n">
        <x:v>2024</x:v>
      </x:c>
      <x:c r="D120" s="19" t="str">
        <x:v>Eden Gardens</x:v>
      </x:c>
      <x:c r="E120" s="19" t="str">
        <x:v>Kolkata Knight Riders</x:v>
      </x:c>
      <x:c r="F120" s="19" t="str">
        <x:v>Mumbai Indians</x:v>
      </x:c>
      <x:c r="G120" s="19" t="str">
        <x:v>Kolkata Knight Riders</x:v>
      </x:c>
      <x:c r="H120" s="17" t="str">
        <x:v>Win</x:v>
      </x:c>
      <x:c r="I120" s="81" t="n">
        <x:v>1</x:v>
      </x:c>
      <x:c r="J120" s="83" t="n">
        <x:f>--AND(OR(D120=Dashboard!$B$4,Dashboard!$B$4="All Venues"),B120&gt;=Dashboard!$E$4,B120&lt;=Dashboard!$H$4)</x:f>
        <x:v>1</x:v>
      </x:c>
    </x:row>
    <x:row r="121">
      <x:c r="A121" s="17" t="n">
        <x:v>60</x:v>
      </x:c>
      <x:c r="B121" s="80" t="n">
        <x:v>45423</x:v>
      </x:c>
      <x:c r="C121" s="17" t="n">
        <x:v>2024</x:v>
      </x:c>
      <x:c r="D121" s="19" t="str">
        <x:v>Eden Gardens</x:v>
      </x:c>
      <x:c r="E121" s="19" t="str">
        <x:v>Mumbai Indians</x:v>
      </x:c>
      <x:c r="F121" s="19" t="str">
        <x:v>Kolkata Knight Riders</x:v>
      </x:c>
      <x:c r="G121" s="19" t="str">
        <x:v>Kolkata Knight Riders</x:v>
      </x:c>
      <x:c r="H121" s="17" t="str">
        <x:v>Loss</x:v>
      </x:c>
      <x:c r="I121" s="81" t="n">
        <x:v>0</x:v>
      </x:c>
      <x:c r="J121" s="83" t="n">
        <x:f>--AND(OR(D121=Dashboard!$B$4,Dashboard!$B$4="All Venues"),B121&gt;=Dashboard!$E$4,B121&lt;=Dashboard!$H$4)</x:f>
        <x:v>1</x:v>
      </x:c>
    </x:row>
    <x:row r="122">
      <x:c r="A122" s="17" t="n">
        <x:v>61</x:v>
      </x:c>
      <x:c r="B122" s="80" t="n">
        <x:v>45424</x:v>
      </x:c>
      <x:c r="C122" s="17" t="n">
        <x:v>2024</x:v>
      </x:c>
      <x:c r="D122" s="19" t="str">
        <x:v>MA Chidambaram Stadium</x:v>
      </x:c>
      <x:c r="E122" s="19" t="str">
        <x:v>Chennai Super Kings</x:v>
      </x:c>
      <x:c r="F122" s="19" t="str">
        <x:v>Rajasthan Royals</x:v>
      </x:c>
      <x:c r="G122" s="19" t="str">
        <x:v>Chennai Super Kings</x:v>
      </x:c>
      <x:c r="H122" s="17" t="str">
        <x:v>Win</x:v>
      </x:c>
      <x:c r="I122" s="81" t="n">
        <x:v>1</x:v>
      </x:c>
      <x:c r="J122" s="83" t="n">
        <x:f>--AND(OR(D122=Dashboard!$B$4,Dashboard!$B$4="All Venues"),B122&gt;=Dashboard!$E$4,B122&lt;=Dashboard!$H$4)</x:f>
        <x:v>1</x:v>
      </x:c>
    </x:row>
    <x:row r="123">
      <x:c r="A123" s="17" t="n">
        <x:v>61</x:v>
      </x:c>
      <x:c r="B123" s="80" t="n">
        <x:v>45424</x:v>
      </x:c>
      <x:c r="C123" s="17" t="n">
        <x:v>2024</x:v>
      </x:c>
      <x:c r="D123" s="19" t="str">
        <x:v>MA Chidambaram Stadium</x:v>
      </x:c>
      <x:c r="E123" s="19" t="str">
        <x:v>Rajasthan Royals</x:v>
      </x:c>
      <x:c r="F123" s="19" t="str">
        <x:v>Chennai Super Kings</x:v>
      </x:c>
      <x:c r="G123" s="19" t="str">
        <x:v>Chennai Super Kings</x:v>
      </x:c>
      <x:c r="H123" s="17" t="str">
        <x:v>Loss</x:v>
      </x:c>
      <x:c r="I123" s="81" t="n">
        <x:v>0</x:v>
      </x:c>
      <x:c r="J123" s="83" t="n">
        <x:f>--AND(OR(D123=Dashboard!$B$4,Dashboard!$B$4="All Venues"),B123&gt;=Dashboard!$E$4,B123&lt;=Dashboard!$H$4)</x:f>
        <x:v>1</x:v>
      </x:c>
    </x:row>
    <x:row r="124">
      <x:c r="A124" s="17" t="n">
        <x:v>62</x:v>
      </x:c>
      <x:c r="B124" s="80" t="n">
        <x:v>45424</x:v>
      </x:c>
      <x:c r="C124" s="17" t="n">
        <x:v>2024</x:v>
      </x:c>
      <x:c r="D124" s="19" t="str">
        <x:v>M Chinnaswamy Stadium</x:v>
      </x:c>
      <x:c r="E124" s="19" t="str">
        <x:v>Royal Challengers Bengaluru</x:v>
      </x:c>
      <x:c r="F124" s="19" t="str">
        <x:v>Delhi Capitals</x:v>
      </x:c>
      <x:c r="G124" s="19" t="str">
        <x:v>Royal Challengers Bengaluru</x:v>
      </x:c>
      <x:c r="H124" s="17" t="str">
        <x:v>Win</x:v>
      </x:c>
      <x:c r="I124" s="81" t="n">
        <x:v>1</x:v>
      </x:c>
      <x:c r="J124" s="83" t="n">
        <x:f>--AND(OR(D124=Dashboard!$B$4,Dashboard!$B$4="All Venues"),B124&gt;=Dashboard!$E$4,B124&lt;=Dashboard!$H$4)</x:f>
        <x:v>1</x:v>
      </x:c>
    </x:row>
    <x:row r="125">
      <x:c r="A125" s="17" t="n">
        <x:v>62</x:v>
      </x:c>
      <x:c r="B125" s="80" t="n">
        <x:v>45424</x:v>
      </x:c>
      <x:c r="C125" s="17" t="n">
        <x:v>2024</x:v>
      </x:c>
      <x:c r="D125" s="19" t="str">
        <x:v>M Chinnaswamy Stadium</x:v>
      </x:c>
      <x:c r="E125" s="19" t="str">
        <x:v>Delhi Capitals</x:v>
      </x:c>
      <x:c r="F125" s="19" t="str">
        <x:v>Royal Challengers Bengaluru</x:v>
      </x:c>
      <x:c r="G125" s="19" t="str">
        <x:v>Royal Challengers Bengaluru</x:v>
      </x:c>
      <x:c r="H125" s="17" t="str">
        <x:v>Loss</x:v>
      </x:c>
      <x:c r="I125" s="81" t="n">
        <x:v>0</x:v>
      </x:c>
      <x:c r="J125" s="83" t="n">
        <x:f>--AND(OR(D125=Dashboard!$B$4,Dashboard!$B$4="All Venues"),B125&gt;=Dashboard!$E$4,B125&lt;=Dashboard!$H$4)</x:f>
        <x:v>1</x:v>
      </x:c>
    </x:row>
    <x:row r="126">
      <x:c r="A126" s="17" t="n">
        <x:v>63</x:v>
      </x:c>
      <x:c r="B126" s="80" t="n">
        <x:v>45425</x:v>
      </x:c>
      <x:c r="C126" s="17" t="n">
        <x:v>2024</x:v>
      </x:c>
      <x:c r="D126" s="19" t="str">
        <x:v>Narendra Modi Stadium</x:v>
      </x:c>
      <x:c r="E126" s="19" t="str">
        <x:v>Gujarat Titans</x:v>
      </x:c>
      <x:c r="F126" s="19" t="str">
        <x:v>Kolkata Knight Riders</x:v>
      </x:c>
      <x:c r="G126" s="19" t="str">
        <x:v>No Result</x:v>
      </x:c>
      <x:c r="H126" s="17" t="str">
        <x:v>No Result</x:v>
      </x:c>
      <x:c r="I126" s="81" t="n">
        <x:v>0</x:v>
      </x:c>
      <x:c r="J126" s="83" t="n">
        <x:f>--AND(OR(D126=Dashboard!$B$4,Dashboard!$B$4="All Venues"),B126&gt;=Dashboard!$E$4,B126&lt;=Dashboard!$H$4)</x:f>
        <x:v>1</x:v>
      </x:c>
    </x:row>
    <x:row r="127">
      <x:c r="A127" s="17" t="n">
        <x:v>63</x:v>
      </x:c>
      <x:c r="B127" s="80" t="n">
        <x:v>45425</x:v>
      </x:c>
      <x:c r="C127" s="17" t="n">
        <x:v>2024</x:v>
      </x:c>
      <x:c r="D127" s="19" t="str">
        <x:v>Narendra Modi Stadium</x:v>
      </x:c>
      <x:c r="E127" s="19" t="str">
        <x:v>Kolkata Knight Riders</x:v>
      </x:c>
      <x:c r="F127" s="19" t="str">
        <x:v>Gujarat Titans</x:v>
      </x:c>
      <x:c r="G127" s="19" t="str">
        <x:v>No Result</x:v>
      </x:c>
      <x:c r="H127" s="17" t="str">
        <x:v>No Result</x:v>
      </x:c>
      <x:c r="I127" s="81" t="n">
        <x:v>0</x:v>
      </x:c>
      <x:c r="J127" s="83" t="n">
        <x:f>--AND(OR(D127=Dashboard!$B$4,Dashboard!$B$4="All Venues"),B127&gt;=Dashboard!$E$4,B127&lt;=Dashboard!$H$4)</x:f>
        <x:v>1</x:v>
      </x:c>
    </x:row>
    <x:row r="128">
      <x:c r="A128" s="17" t="n">
        <x:v>64</x:v>
      </x:c>
      <x:c r="B128" s="80" t="n">
        <x:v>45426</x:v>
      </x:c>
      <x:c r="C128" s="17" t="n">
        <x:v>2024</x:v>
      </x:c>
      <x:c r="D128" s="19" t="str">
        <x:v>Arun Jaitley Stadium</x:v>
      </x:c>
      <x:c r="E128" s="19" t="str">
        <x:v>Delhi Capitals</x:v>
      </x:c>
      <x:c r="F128" s="19" t="str">
        <x:v>Lucknow Super Giants</x:v>
      </x:c>
      <x:c r="G128" s="19" t="str">
        <x:v>Delhi Capitals</x:v>
      </x:c>
      <x:c r="H128" s="17" t="str">
        <x:v>Win</x:v>
      </x:c>
      <x:c r="I128" s="81" t="n">
        <x:v>1</x:v>
      </x:c>
      <x:c r="J128" s="83" t="n">
        <x:f>--AND(OR(D128=Dashboard!$B$4,Dashboard!$B$4="All Venues"),B128&gt;=Dashboard!$E$4,B128&lt;=Dashboard!$H$4)</x:f>
        <x:v>1</x:v>
      </x:c>
    </x:row>
    <x:row r="129">
      <x:c r="A129" s="17" t="n">
        <x:v>64</x:v>
      </x:c>
      <x:c r="B129" s="80" t="n">
        <x:v>45426</x:v>
      </x:c>
      <x:c r="C129" s="17" t="n">
        <x:v>2024</x:v>
      </x:c>
      <x:c r="D129" s="19" t="str">
        <x:v>Arun Jaitley Stadium</x:v>
      </x:c>
      <x:c r="E129" s="19" t="str">
        <x:v>Lucknow Super Giants</x:v>
      </x:c>
      <x:c r="F129" s="19" t="str">
        <x:v>Delhi Capitals</x:v>
      </x:c>
      <x:c r="G129" s="19" t="str">
        <x:v>Delhi Capitals</x:v>
      </x:c>
      <x:c r="H129" s="17" t="str">
        <x:v>Loss</x:v>
      </x:c>
      <x:c r="I129" s="81" t="n">
        <x:v>0</x:v>
      </x:c>
      <x:c r="J129" s="83" t="n">
        <x:f>--AND(OR(D129=Dashboard!$B$4,Dashboard!$B$4="All Venues"),B129&gt;=Dashboard!$E$4,B129&lt;=Dashboard!$H$4)</x:f>
        <x:v>1</x:v>
      </x:c>
    </x:row>
    <x:row r="130">
      <x:c r="A130" s="17" t="n">
        <x:v>65</x:v>
      </x:c>
      <x:c r="B130" s="80" t="n">
        <x:v>45427</x:v>
      </x:c>
      <x:c r="C130" s="17" t="n">
        <x:v>2024</x:v>
      </x:c>
      <x:c r="D130" s="19" t="str">
        <x:v>Barsapara Cricket Stadium</x:v>
      </x:c>
      <x:c r="E130" s="19" t="str">
        <x:v>Rajasthan Royals</x:v>
      </x:c>
      <x:c r="F130" s="19" t="str">
        <x:v>Punjab Kings</x:v>
      </x:c>
      <x:c r="G130" s="19" t="str">
        <x:v>Punjab Kings</x:v>
      </x:c>
      <x:c r="H130" s="17" t="str">
        <x:v>Loss</x:v>
      </x:c>
      <x:c r="I130" s="81" t="n">
        <x:v>0</x:v>
      </x:c>
      <x:c r="J130" s="83" t="n">
        <x:f>--AND(OR(D130=Dashboard!$B$4,Dashboard!$B$4="All Venues"),B130&gt;=Dashboard!$E$4,B130&lt;=Dashboard!$H$4)</x:f>
        <x:v>1</x:v>
      </x:c>
    </x:row>
    <x:row r="131">
      <x:c r="A131" s="17" t="n">
        <x:v>65</x:v>
      </x:c>
      <x:c r="B131" s="80" t="n">
        <x:v>45427</x:v>
      </x:c>
      <x:c r="C131" s="17" t="n">
        <x:v>2024</x:v>
      </x:c>
      <x:c r="D131" s="19" t="str">
        <x:v>Barsapara Cricket Stadium</x:v>
      </x:c>
      <x:c r="E131" s="19" t="str">
        <x:v>Punjab Kings</x:v>
      </x:c>
      <x:c r="F131" s="19" t="str">
        <x:v>Rajasthan Royals</x:v>
      </x:c>
      <x:c r="G131" s="19" t="str">
        <x:v>Punjab Kings</x:v>
      </x:c>
      <x:c r="H131" s="17" t="str">
        <x:v>Win</x:v>
      </x:c>
      <x:c r="I131" s="81" t="n">
        <x:v>1</x:v>
      </x:c>
      <x:c r="J131" s="83" t="n">
        <x:f>--AND(OR(D131=Dashboard!$B$4,Dashboard!$B$4="All Venues"),B131&gt;=Dashboard!$E$4,B131&lt;=Dashboard!$H$4)</x:f>
        <x:v>1</x:v>
      </x:c>
    </x:row>
    <x:row r="132">
      <x:c r="A132" s="17" t="n">
        <x:v>66</x:v>
      </x:c>
      <x:c r="B132" s="80" t="n">
        <x:v>45428</x:v>
      </x:c>
      <x:c r="C132" s="17" t="n">
        <x:v>2024</x:v>
      </x:c>
      <x:c r="D132" s="19" t="str">
        <x:v>Rajiv Gandhi International Stadium</x:v>
      </x:c>
      <x:c r="E132" s="19" t="str">
        <x:v>Sunrisers Hyderabad</x:v>
      </x:c>
      <x:c r="F132" s="19" t="str">
        <x:v>Gujarat Titans</x:v>
      </x:c>
      <x:c r="G132" s="19" t="str">
        <x:v>No Result</x:v>
      </x:c>
      <x:c r="H132" s="17" t="str">
        <x:v>No Result</x:v>
      </x:c>
      <x:c r="I132" s="81" t="n">
        <x:v>0</x:v>
      </x:c>
      <x:c r="J132" s="83" t="n">
        <x:f>--AND(OR(D132=Dashboard!$B$4,Dashboard!$B$4="All Venues"),B132&gt;=Dashboard!$E$4,B132&lt;=Dashboard!$H$4)</x:f>
        <x:v>1</x:v>
      </x:c>
    </x:row>
    <x:row r="133">
      <x:c r="A133" s="17" t="n">
        <x:v>66</x:v>
      </x:c>
      <x:c r="B133" s="80" t="n">
        <x:v>45428</x:v>
      </x:c>
      <x:c r="C133" s="17" t="n">
        <x:v>2024</x:v>
      </x:c>
      <x:c r="D133" s="19" t="str">
        <x:v>Rajiv Gandhi International Stadium</x:v>
      </x:c>
      <x:c r="E133" s="19" t="str">
        <x:v>Gujarat Titans</x:v>
      </x:c>
      <x:c r="F133" s="19" t="str">
        <x:v>Sunrisers Hyderabad</x:v>
      </x:c>
      <x:c r="G133" s="19" t="str">
        <x:v>No Result</x:v>
      </x:c>
      <x:c r="H133" s="17" t="str">
        <x:v>No Result</x:v>
      </x:c>
      <x:c r="I133" s="81" t="n">
        <x:v>0</x:v>
      </x:c>
      <x:c r="J133" s="83" t="n">
        <x:f>--AND(OR(D133=Dashboard!$B$4,Dashboard!$B$4="All Venues"),B133&gt;=Dashboard!$E$4,B133&lt;=Dashboard!$H$4)</x:f>
        <x:v>1</x:v>
      </x:c>
    </x:row>
    <x:row r="134">
      <x:c r="A134" s="17" t="n">
        <x:v>67</x:v>
      </x:c>
      <x:c r="B134" s="80" t="n">
        <x:v>45429</x:v>
      </x:c>
      <x:c r="C134" s="17" t="n">
        <x:v>2024</x:v>
      </x:c>
      <x:c r="D134" s="19" t="str">
        <x:v>Wankhede Stadium</x:v>
      </x:c>
      <x:c r="E134" s="19" t="str">
        <x:v>Mumbai Indians</x:v>
      </x:c>
      <x:c r="F134" s="19" t="str">
        <x:v>Lucknow Super Giants</x:v>
      </x:c>
      <x:c r="G134" s="19" t="str">
        <x:v>Lucknow Super Giants</x:v>
      </x:c>
      <x:c r="H134" s="17" t="str">
        <x:v>Loss</x:v>
      </x:c>
      <x:c r="I134" s="81" t="n">
        <x:v>0</x:v>
      </x:c>
      <x:c r="J134" s="83" t="n">
        <x:f>--AND(OR(D134=Dashboard!$B$4,Dashboard!$B$4="All Venues"),B134&gt;=Dashboard!$E$4,B134&lt;=Dashboard!$H$4)</x:f>
        <x:v>1</x:v>
      </x:c>
    </x:row>
    <x:row r="135">
      <x:c r="A135" s="17" t="n">
        <x:v>67</x:v>
      </x:c>
      <x:c r="B135" s="80" t="n">
        <x:v>45429</x:v>
      </x:c>
      <x:c r="C135" s="17" t="n">
        <x:v>2024</x:v>
      </x:c>
      <x:c r="D135" s="19" t="str">
        <x:v>Wankhede Stadium</x:v>
      </x:c>
      <x:c r="E135" s="19" t="str">
        <x:v>Lucknow Super Giants</x:v>
      </x:c>
      <x:c r="F135" s="19" t="str">
        <x:v>Mumbai Indians</x:v>
      </x:c>
      <x:c r="G135" s="19" t="str">
        <x:v>Lucknow Super Giants</x:v>
      </x:c>
      <x:c r="H135" s="17" t="str">
        <x:v>Win</x:v>
      </x:c>
      <x:c r="I135" s="81" t="n">
        <x:v>1</x:v>
      </x:c>
      <x:c r="J135" s="83" t="n">
        <x:f>--AND(OR(D135=Dashboard!$B$4,Dashboard!$B$4="All Venues"),B135&gt;=Dashboard!$E$4,B135&lt;=Dashboard!$H$4)</x:f>
        <x:v>1</x:v>
      </x:c>
    </x:row>
    <x:row r="136">
      <x:c r="A136" s="17" t="n">
        <x:v>68</x:v>
      </x:c>
      <x:c r="B136" s="80" t="n">
        <x:v>45430</x:v>
      </x:c>
      <x:c r="C136" s="17" t="n">
        <x:v>2024</x:v>
      </x:c>
      <x:c r="D136" s="19" t="str">
        <x:v>M Chinnaswamy Stadium</x:v>
      </x:c>
      <x:c r="E136" s="19" t="str">
        <x:v>Royal Challengers Bengaluru</x:v>
      </x:c>
      <x:c r="F136" s="19" t="str">
        <x:v>Chennai Super Kings</x:v>
      </x:c>
      <x:c r="G136" s="19" t="str">
        <x:v>Royal Challengers Bengaluru</x:v>
      </x:c>
      <x:c r="H136" s="17" t="str">
        <x:v>Win</x:v>
      </x:c>
      <x:c r="I136" s="81" t="n">
        <x:v>1</x:v>
      </x:c>
      <x:c r="J136" s="83" t="n">
        <x:f>--AND(OR(D136=Dashboard!$B$4,Dashboard!$B$4="All Venues"),B136&gt;=Dashboard!$E$4,B136&lt;=Dashboard!$H$4)</x:f>
        <x:v>1</x:v>
      </x:c>
    </x:row>
    <x:row r="137">
      <x:c r="A137" s="17" t="n">
        <x:v>68</x:v>
      </x:c>
      <x:c r="B137" s="80" t="n">
        <x:v>45430</x:v>
      </x:c>
      <x:c r="C137" s="17" t="n">
        <x:v>2024</x:v>
      </x:c>
      <x:c r="D137" s="19" t="str">
        <x:v>M Chinnaswamy Stadium</x:v>
      </x:c>
      <x:c r="E137" s="19" t="str">
        <x:v>Chennai Super Kings</x:v>
      </x:c>
      <x:c r="F137" s="19" t="str">
        <x:v>Royal Challengers Bengaluru</x:v>
      </x:c>
      <x:c r="G137" s="19" t="str">
        <x:v>Royal Challengers Bengaluru</x:v>
      </x:c>
      <x:c r="H137" s="17" t="str">
        <x:v>Loss</x:v>
      </x:c>
      <x:c r="I137" s="81" t="n">
        <x:v>0</x:v>
      </x:c>
      <x:c r="J137" s="83" t="n">
        <x:f>--AND(OR(D137=Dashboard!$B$4,Dashboard!$B$4="All Venues"),B137&gt;=Dashboard!$E$4,B137&lt;=Dashboard!$H$4)</x:f>
        <x:v>1</x:v>
      </x:c>
    </x:row>
    <x:row r="138">
      <x:c r="A138" s="17" t="n">
        <x:v>69</x:v>
      </x:c>
      <x:c r="B138" s="80" t="n">
        <x:v>45431</x:v>
      </x:c>
      <x:c r="C138" s="17" t="n">
        <x:v>2024</x:v>
      </x:c>
      <x:c r="D138" s="19" t="str">
        <x:v>Rajiv Gandhi International Stadium</x:v>
      </x:c>
      <x:c r="E138" s="19" t="str">
        <x:v>Sunrisers Hyderabad</x:v>
      </x:c>
      <x:c r="F138" s="19" t="str">
        <x:v>Punjab Kings</x:v>
      </x:c>
      <x:c r="G138" s="19" t="str">
        <x:v>Sunrisers Hyderabad</x:v>
      </x:c>
      <x:c r="H138" s="17" t="str">
        <x:v>Win</x:v>
      </x:c>
      <x:c r="I138" s="81" t="n">
        <x:v>1</x:v>
      </x:c>
      <x:c r="J138" s="83" t="n">
        <x:f>--AND(OR(D138=Dashboard!$B$4,Dashboard!$B$4="All Venues"),B138&gt;=Dashboard!$E$4,B138&lt;=Dashboard!$H$4)</x:f>
        <x:v>1</x:v>
      </x:c>
    </x:row>
    <x:row r="139">
      <x:c r="A139" s="17" t="n">
        <x:v>69</x:v>
      </x:c>
      <x:c r="B139" s="80" t="n">
        <x:v>45431</x:v>
      </x:c>
      <x:c r="C139" s="17" t="n">
        <x:v>2024</x:v>
      </x:c>
      <x:c r="D139" s="19" t="str">
        <x:v>Rajiv Gandhi International Stadium</x:v>
      </x:c>
      <x:c r="E139" s="19" t="str">
        <x:v>Punjab Kings</x:v>
      </x:c>
      <x:c r="F139" s="19" t="str">
        <x:v>Sunrisers Hyderabad</x:v>
      </x:c>
      <x:c r="G139" s="19" t="str">
        <x:v>Sunrisers Hyderabad</x:v>
      </x:c>
      <x:c r="H139" s="17" t="str">
        <x:v>Loss</x:v>
      </x:c>
      <x:c r="I139" s="81" t="n">
        <x:v>0</x:v>
      </x:c>
      <x:c r="J139" s="83" t="n">
        <x:f>--AND(OR(D139=Dashboard!$B$4,Dashboard!$B$4="All Venues"),B139&gt;=Dashboard!$E$4,B139&lt;=Dashboard!$H$4)</x:f>
        <x:v>1</x:v>
      </x:c>
    </x:row>
    <x:row r="140">
      <x:c r="A140" s="17" t="n">
        <x:v>70</x:v>
      </x:c>
      <x:c r="B140" s="80" t="n">
        <x:v>45431</x:v>
      </x:c>
      <x:c r="C140" s="17" t="n">
        <x:v>2024</x:v>
      </x:c>
      <x:c r="D140" s="19" t="str">
        <x:v>Barsapara Cricket Stadium</x:v>
      </x:c>
      <x:c r="E140" s="19" t="str">
        <x:v>Rajasthan Royals</x:v>
      </x:c>
      <x:c r="F140" s="19" t="str">
        <x:v>Kolkata Knight Riders</x:v>
      </x:c>
      <x:c r="G140" s="19" t="str">
        <x:v>No Result</x:v>
      </x:c>
      <x:c r="H140" s="17" t="str">
        <x:v>No Result</x:v>
      </x:c>
      <x:c r="I140" s="81" t="n">
        <x:v>0</x:v>
      </x:c>
      <x:c r="J140" s="83" t="n">
        <x:f>--AND(OR(D140=Dashboard!$B$4,Dashboard!$B$4="All Venues"),B140&gt;=Dashboard!$E$4,B140&lt;=Dashboard!$H$4)</x:f>
        <x:v>1</x:v>
      </x:c>
    </x:row>
    <x:row r="141">
      <x:c r="A141" s="17" t="n">
        <x:v>70</x:v>
      </x:c>
      <x:c r="B141" s="80" t="n">
        <x:v>45431</x:v>
      </x:c>
      <x:c r="C141" s="17" t="n">
        <x:v>2024</x:v>
      </x:c>
      <x:c r="D141" s="19" t="str">
        <x:v>Barsapara Cricket Stadium</x:v>
      </x:c>
      <x:c r="E141" s="19" t="str">
        <x:v>Kolkata Knight Riders</x:v>
      </x:c>
      <x:c r="F141" s="19" t="str">
        <x:v>Rajasthan Royals</x:v>
      </x:c>
      <x:c r="G141" s="19" t="str">
        <x:v>No Result</x:v>
      </x:c>
      <x:c r="H141" s="17" t="str">
        <x:v>No Result</x:v>
      </x:c>
      <x:c r="I141" s="81" t="n">
        <x:v>0</x:v>
      </x:c>
      <x:c r="J141" s="83" t="n">
        <x:f>--AND(OR(D141=Dashboard!$B$4,Dashboard!$B$4="All Venues"),B141&gt;=Dashboard!$E$4,B141&lt;=Dashboard!$H$4)</x:f>
        <x:v>1</x:v>
      </x:c>
    </x:row>
    <x:row r="142">
      <x:c r="A142" s="17" t="n">
        <x:v>71</x:v>
      </x:c>
      <x:c r="B142" s="80" t="n">
        <x:v>45433</x:v>
      </x:c>
      <x:c r="C142" s="17" t="n">
        <x:v>2024</x:v>
      </x:c>
      <x:c r="D142" s="19" t="str">
        <x:v>Narendra Modi Stadium</x:v>
      </x:c>
      <x:c r="E142" s="19" t="str">
        <x:v>Kolkata Knight Riders</x:v>
      </x:c>
      <x:c r="F142" s="19" t="str">
        <x:v>Sunrisers Hyderabad</x:v>
      </x:c>
      <x:c r="G142" s="19" t="str">
        <x:v>Kolkata Knight Riders</x:v>
      </x:c>
      <x:c r="H142" s="17" t="str">
        <x:v>Win</x:v>
      </x:c>
      <x:c r="I142" s="81" t="n">
        <x:v>1</x:v>
      </x:c>
      <x:c r="J142" s="83" t="n">
        <x:f>--AND(OR(D142=Dashboard!$B$4,Dashboard!$B$4="All Venues"),B142&gt;=Dashboard!$E$4,B142&lt;=Dashboard!$H$4)</x:f>
        <x:v>1</x:v>
      </x:c>
    </x:row>
    <x:row r="143">
      <x:c r="A143" s="17" t="n">
        <x:v>71</x:v>
      </x:c>
      <x:c r="B143" s="80" t="n">
        <x:v>45433</x:v>
      </x:c>
      <x:c r="C143" s="17" t="n">
        <x:v>2024</x:v>
      </x:c>
      <x:c r="D143" s="19" t="str">
        <x:v>Narendra Modi Stadium</x:v>
      </x:c>
      <x:c r="E143" s="19" t="str">
        <x:v>Sunrisers Hyderabad</x:v>
      </x:c>
      <x:c r="F143" s="19" t="str">
        <x:v>Kolkata Knight Riders</x:v>
      </x:c>
      <x:c r="G143" s="19" t="str">
        <x:v>Kolkata Knight Riders</x:v>
      </x:c>
      <x:c r="H143" s="17" t="str">
        <x:v>Loss</x:v>
      </x:c>
      <x:c r="I143" s="81" t="n">
        <x:v>0</x:v>
      </x:c>
      <x:c r="J143" s="83" t="n">
        <x:f>--AND(OR(D143=Dashboard!$B$4,Dashboard!$B$4="All Venues"),B143&gt;=Dashboard!$E$4,B143&lt;=Dashboard!$H$4)</x:f>
        <x:v>1</x:v>
      </x:c>
    </x:row>
    <x:row r="144">
      <x:c r="A144" s="17" t="n">
        <x:v>72</x:v>
      </x:c>
      <x:c r="B144" s="80" t="n">
        <x:v>45434</x:v>
      </x:c>
      <x:c r="C144" s="17" t="n">
        <x:v>2024</x:v>
      </x:c>
      <x:c r="D144" s="19" t="str">
        <x:v>Narendra Modi Stadium</x:v>
      </x:c>
      <x:c r="E144" s="19" t="str">
        <x:v>Rajasthan Royals</x:v>
      </x:c>
      <x:c r="F144" s="19" t="str">
        <x:v>Royal Challengers Bengaluru</x:v>
      </x:c>
      <x:c r="G144" s="19" t="str">
        <x:v>Rajasthan Royals</x:v>
      </x:c>
      <x:c r="H144" s="17" t="str">
        <x:v>Win</x:v>
      </x:c>
      <x:c r="I144" s="81" t="n">
        <x:v>1</x:v>
      </x:c>
      <x:c r="J144" s="83" t="n">
        <x:f>--AND(OR(D144=Dashboard!$B$4,Dashboard!$B$4="All Venues"),B144&gt;=Dashboard!$E$4,B144&lt;=Dashboard!$H$4)</x:f>
        <x:v>1</x:v>
      </x:c>
    </x:row>
    <x:row r="145">
      <x:c r="A145" s="17" t="n">
        <x:v>72</x:v>
      </x:c>
      <x:c r="B145" s="80" t="n">
        <x:v>45434</x:v>
      </x:c>
      <x:c r="C145" s="17" t="n">
        <x:v>2024</x:v>
      </x:c>
      <x:c r="D145" s="19" t="str">
        <x:v>Narendra Modi Stadium</x:v>
      </x:c>
      <x:c r="E145" s="19" t="str">
        <x:v>Royal Challengers Bengaluru</x:v>
      </x:c>
      <x:c r="F145" s="19" t="str">
        <x:v>Rajasthan Royals</x:v>
      </x:c>
      <x:c r="G145" s="19" t="str">
        <x:v>Rajasthan Royals</x:v>
      </x:c>
      <x:c r="H145" s="17" t="str">
        <x:v>Loss</x:v>
      </x:c>
      <x:c r="I145" s="81" t="n">
        <x:v>0</x:v>
      </x:c>
      <x:c r="J145" s="83" t="n">
        <x:f>--AND(OR(D145=Dashboard!$B$4,Dashboard!$B$4="All Venues"),B145&gt;=Dashboard!$E$4,B145&lt;=Dashboard!$H$4)</x:f>
        <x:v>1</x:v>
      </x:c>
    </x:row>
    <x:row r="146">
      <x:c r="A146" s="17" t="n">
        <x:v>73</x:v>
      </x:c>
      <x:c r="B146" s="80" t="n">
        <x:v>45436</x:v>
      </x:c>
      <x:c r="C146" s="17" t="n">
        <x:v>2024</x:v>
      </x:c>
      <x:c r="D146" s="19" t="str">
        <x:v>MA Chidambaram Stadium</x:v>
      </x:c>
      <x:c r="E146" s="19" t="str">
        <x:v>Sunrisers Hyderabad</x:v>
      </x:c>
      <x:c r="F146" s="19" t="str">
        <x:v>Rajasthan Royals</x:v>
      </x:c>
      <x:c r="G146" s="19" t="str">
        <x:v>Sunrisers Hyderabad</x:v>
      </x:c>
      <x:c r="H146" s="17" t="str">
        <x:v>Win</x:v>
      </x:c>
      <x:c r="I146" s="81" t="n">
        <x:v>1</x:v>
      </x:c>
      <x:c r="J146" s="83" t="n">
        <x:f>--AND(OR(D146=Dashboard!$B$4,Dashboard!$B$4="All Venues"),B146&gt;=Dashboard!$E$4,B146&lt;=Dashboard!$H$4)</x:f>
        <x:v>1</x:v>
      </x:c>
    </x:row>
    <x:row r="147">
      <x:c r="A147" s="17" t="n">
        <x:v>73</x:v>
      </x:c>
      <x:c r="B147" s="80" t="n">
        <x:v>45436</x:v>
      </x:c>
      <x:c r="C147" s="17" t="n">
        <x:v>2024</x:v>
      </x:c>
      <x:c r="D147" s="19" t="str">
        <x:v>MA Chidambaram Stadium</x:v>
      </x:c>
      <x:c r="E147" s="19" t="str">
        <x:v>Rajasthan Royals</x:v>
      </x:c>
      <x:c r="F147" s="19" t="str">
        <x:v>Sunrisers Hyderabad</x:v>
      </x:c>
      <x:c r="G147" s="19" t="str">
        <x:v>Sunrisers Hyderabad</x:v>
      </x:c>
      <x:c r="H147" s="17" t="str">
        <x:v>Loss</x:v>
      </x:c>
      <x:c r="I147" s="81" t="n">
        <x:v>0</x:v>
      </x:c>
      <x:c r="J147" s="83" t="n">
        <x:f>--AND(OR(D147=Dashboard!$B$4,Dashboard!$B$4="All Venues"),B147&gt;=Dashboard!$E$4,B147&lt;=Dashboard!$H$4)</x:f>
        <x:v>1</x:v>
      </x:c>
    </x:row>
    <x:row r="148">
      <x:c r="A148" s="17" t="n">
        <x:v>74</x:v>
      </x:c>
      <x:c r="B148" s="80" t="n">
        <x:v>45438</x:v>
      </x:c>
      <x:c r="C148" s="17" t="n">
        <x:v>2024</x:v>
      </x:c>
      <x:c r="D148" s="19" t="str">
        <x:v>MA Chidambaram Stadium</x:v>
      </x:c>
      <x:c r="E148" s="19" t="str">
        <x:v>Kolkata Knight Riders</x:v>
      </x:c>
      <x:c r="F148" s="19" t="str">
        <x:v>Sunrisers Hyderabad</x:v>
      </x:c>
      <x:c r="G148" s="19" t="str">
        <x:v>Kolkata Knight Riders</x:v>
      </x:c>
      <x:c r="H148" s="17" t="str">
        <x:v>Win</x:v>
      </x:c>
      <x:c r="I148" s="81" t="n">
        <x:v>1</x:v>
      </x:c>
      <x:c r="J148" s="83" t="n">
        <x:f>--AND(OR(D148=Dashboard!$B$4,Dashboard!$B$4="All Venues"),B148&gt;=Dashboard!$E$4,B148&lt;=Dashboard!$H$4)</x:f>
        <x:v>1</x:v>
      </x:c>
    </x:row>
    <x:row r="149">
      <x:c r="A149" s="17" t="n">
        <x:v>74</x:v>
      </x:c>
      <x:c r="B149" s="80" t="n">
        <x:v>45438</x:v>
      </x:c>
      <x:c r="C149" s="17" t="n">
        <x:v>2024</x:v>
      </x:c>
      <x:c r="D149" s="19" t="str">
        <x:v>MA Chidambaram Stadium</x:v>
      </x:c>
      <x:c r="E149" s="19" t="str">
        <x:v>Sunrisers Hyderabad</x:v>
      </x:c>
      <x:c r="F149" s="19" t="str">
        <x:v>Kolkata Knight Riders</x:v>
      </x:c>
      <x:c r="G149" s="19" t="str">
        <x:v>Kolkata Knight Riders</x:v>
      </x:c>
      <x:c r="H149" s="17" t="str">
        <x:v>Loss</x:v>
      </x:c>
      <x:c r="I149" s="81" t="n">
        <x:v>0</x:v>
      </x:c>
      <x:c r="J149" s="83" t="n">
        <x:f>--AND(OR(D149=Dashboard!$B$4,Dashboard!$B$4="All Venues"),B149&gt;=Dashboard!$E$4,B149&lt;=Dashboard!$H$4)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7b6879bb0eb48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2" hidden="0" customWidth="1"/>
    <x:col min="4" max="4" width="16" hidden="0" customWidth="1"/>
    <x:col min="5" max="5" width="17" hidden="0" customWidth="1"/>
    <x:col min="6" max="6" width="17" hidden="0" customWidth="1"/>
    <x:col min="7" max="7" width="16" hidden="0" customWidth="1"/>
    <x:col min="8" max="8" width="17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118" t="str">
        <x:v>🏏 IPL Interactive Performance Dashboard — 2024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119" t="str">
        <x:v>CONTROL PANEL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/>
      <x:c r="J3" s="19"/>
      <x:c r="K3" s="19"/>
      <x:c r="L3" s="19"/>
      <x:c r="M3" s="19"/>
      <x:c r="N3" s="19"/>
    </x:row>
    <x:row r="4">
      <x:c r="A4" s="125" t="str">
        <x:v>Venue Slicer</x:v>
      </x:c>
      <x:c r="B4" s="125" t="str">
        <x:v>All Venues</x:v>
      </x:c>
      <x:c r="C4" s="125" t="str"/>
      <x:c r="D4" s="125" t="str">
        <x:v>Timeline Start</x:v>
      </x:c>
      <x:c r="E4" s="126" t="n">
        <x:v>45373</x:v>
      </x:c>
      <x:c r="F4" s="125" t="str"/>
      <x:c r="G4" s="125" t="str">
        <x:v>Timeline End</x:v>
      </x:c>
      <x:c r="H4" s="126" t="n">
        <x:v>45438</x:v>
      </x:c>
      <x:c r="I4" s="19"/>
      <x:c r="J4" s="19"/>
      <x:c r="K4" s="19"/>
      <x:c r="L4" s="19"/>
      <x:c r="M4" s="19"/>
      <x:c r="N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122" t="str">
        <x:v>Matches in Filter</x:v>
      </x:c>
      <x:c r="B6" s="123" t="n">
        <x:f>SUM('Match Data'!$J$2:$J$149)/2</x:f>
        <x:v>74</x:v>
      </x:c>
      <x:c r="C6" s="19" t="str"/>
      <x:c r="D6" s="122" t="str">
        <x:v>Teams Covered</x:v>
      </x:c>
      <x:c r="E6" s="123" t="n">
        <x:v>10</x:v>
      </x:c>
      <x:c r="F6" s="19" t="str"/>
      <x:c r="G6" s="19"/>
      <x:c r="H6" s="19"/>
      <x:c r="I6" s="19"/>
      <x:c r="J6" s="19"/>
      <x:c r="K6" s="19"/>
      <x:c r="L6" s="19"/>
      <x:c r="M6" s="19"/>
      <x:c r="N6" s="19"/>
    </x:row>
    <x:row r="7">
      <x:c r="A7" s="122" t="str">
        <x:v>Total Wins in Filter</x:v>
      </x:c>
      <x:c r="B7" s="123" t="n">
        <x:f>SUMIFS('Match Data'!$I$2:$I$149,'Match Data'!$J$2:$J$149,1)</x:f>
        <x:v>71</x:v>
      </x:c>
      <x:c r="C7" s="19" t="str"/>
      <x:c r="D7" s="122" t="str">
        <x:v>Venues in Dataset</x:v>
      </x:c>
      <x:c r="E7" s="123" t="n">
        <x:v>13</x:v>
      </x:c>
      <x:c r="F7" s="19" t="str"/>
      <x:c r="G7" s="19"/>
      <x:c r="H7" s="19"/>
      <x:c r="I7" s="19"/>
      <x:c r="J7" s="19"/>
      <x:c r="K7" s="19"/>
      <x:c r="L7" s="19"/>
      <x:c r="M7" s="19"/>
      <x:c r="N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</x:row>
    <x:row r="10">
      <x:c r="A10" s="84" t="str">
        <x:v>Team</x:v>
      </x:c>
      <x:c r="B10" s="84" t="str">
        <x:v>Matches Played</x:v>
      </x:c>
      <x:c r="C10" s="84" t="str">
        <x:v>Wins</x:v>
      </x:c>
      <x:c r="D10" s="19"/>
      <x:c r="E10" s="84" t="str">
        <x:v>Month</x:v>
      </x:c>
      <x:c r="F10" s="84" t="str">
        <x:v>Matches Played</x:v>
      </x:c>
      <x:c r="G10" s="19"/>
      <x:c r="H10" s="19"/>
      <x:c r="I10" s="19"/>
      <x:c r="J10" s="19"/>
      <x:c r="K10" s="19"/>
      <x:c r="L10" s="19"/>
      <x:c r="M10" s="19"/>
      <x:c r="N10" s="19"/>
    </x:row>
    <x:row r="11">
      <x:c r="A11" s="19" t="str">
        <x:v>Chennai Super Kings</x:v>
      </x:c>
      <x:c r="B11" s="81" t="n">
        <x:f>SUMIFS('Match Data'!$J$2:$J$149,'Match Data'!$E$2:$E$149,$A11)</x:f>
        <x:v>14</x:v>
      </x:c>
      <x:c r="C11" s="81" t="n">
        <x:f>SUMIFS('Match Data'!$I$2:$I$149,'Match Data'!$E$2:$E$149,$A11,'Match Data'!$J$2:$J$149,1)</x:f>
        <x:v>7</x:v>
      </x:c>
      <x:c r="D11" s="19"/>
      <x:c r="E11" s="124" t="n">
        <x:v>45352</x:v>
      </x:c>
      <x:c r="F11" s="19" t="n">
        <x:f>SUMIFS('Match Data'!$J$2:$J$149,'Match Data'!$B$2:$B$149,"&gt;="&amp;E11,'Match Data'!$B$2:$B$149,"&lt;"&amp;EDATE(E11,1))/2</x:f>
        <x:v>13</x:v>
      </x:c>
      <x:c r="G11" s="19"/>
      <x:c r="H11" s="19"/>
      <x:c r="I11" s="19"/>
      <x:c r="J11" s="19"/>
      <x:c r="K11" s="19"/>
      <x:c r="L11" s="19"/>
      <x:c r="M11" s="19"/>
      <x:c r="N11" s="19"/>
    </x:row>
    <x:row r="12">
      <x:c r="A12" s="19" t="str">
        <x:v>Delhi Capitals</x:v>
      </x:c>
      <x:c r="B12" s="81" t="n">
        <x:f>SUMIFS('Match Data'!$J$2:$J$149,'Match Data'!$E$2:$E$149,$A12)</x:f>
        <x:v>14</x:v>
      </x:c>
      <x:c r="C12" s="81" t="n">
        <x:f>SUMIFS('Match Data'!$I$2:$I$149,'Match Data'!$E$2:$E$149,$A12,'Match Data'!$J$2:$J$149,1)</x:f>
        <x:v>7</x:v>
      </x:c>
      <x:c r="D12" s="19"/>
      <x:c r="E12" s="124" t="n">
        <x:v>45383</x:v>
      </x:c>
      <x:c r="F12" s="19" t="n">
        <x:f>SUMIFS('Match Data'!$J$2:$J$149,'Match Data'!$B$2:$B$149,"&gt;="&amp;E12,'Match Data'!$B$2:$B$149,"&lt;"&amp;EDATE(E12,1))/2</x:f>
        <x:v>35</x:v>
      </x:c>
      <x:c r="G12" s="19"/>
      <x:c r="H12" s="19"/>
      <x:c r="I12" s="19"/>
      <x:c r="J12" s="19"/>
      <x:c r="K12" s="19"/>
      <x:c r="L12" s="19"/>
      <x:c r="M12" s="19"/>
      <x:c r="N12" s="19"/>
    </x:row>
    <x:row r="13">
      <x:c r="A13" s="19" t="str">
        <x:v>Gujarat Titans</x:v>
      </x:c>
      <x:c r="B13" s="81" t="n">
        <x:f>SUMIFS('Match Data'!$J$2:$J$149,'Match Data'!$E$2:$E$149,$A13)</x:f>
        <x:v>14</x:v>
      </x:c>
      <x:c r="C13" s="81" t="n">
        <x:f>SUMIFS('Match Data'!$I$2:$I$149,'Match Data'!$E$2:$E$149,$A13,'Match Data'!$J$2:$J$149,1)</x:f>
        <x:v>5</x:v>
      </x:c>
      <x:c r="D13" s="19"/>
      <x:c r="E13" s="124" t="n">
        <x:v>45413</x:v>
      </x:c>
      <x:c r="F13" s="19" t="n">
        <x:f>SUMIFS('Match Data'!$J$2:$J$149,'Match Data'!$B$2:$B$149,"&gt;="&amp;E13,'Match Data'!$B$2:$B$149,"&lt;"&amp;EDATE(E13,1))/2</x:f>
        <x:v>26</x:v>
      </x:c>
      <x:c r="G13" s="19"/>
      <x:c r="H13" s="19"/>
      <x:c r="I13" s="19"/>
      <x:c r="J13" s="19"/>
      <x:c r="K13" s="19"/>
      <x:c r="L13" s="19"/>
      <x:c r="M13" s="19"/>
      <x:c r="N13" s="19"/>
    </x:row>
    <x:row r="14">
      <x:c r="A14" s="19" t="str">
        <x:v>Kolkata Knight Riders</x:v>
      </x:c>
      <x:c r="B14" s="81" t="n">
        <x:f>SUMIFS('Match Data'!$J$2:$J$149,'Match Data'!$E$2:$E$149,$A14)</x:f>
        <x:v>16</x:v>
      </x:c>
      <x:c r="C14" s="81" t="n">
        <x:f>SUMIFS('Match Data'!$I$2:$I$149,'Match Data'!$E$2:$E$149,$A14,'Match Data'!$J$2:$J$149,1)</x:f>
        <x:v>11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</x:row>
    <x:row r="15">
      <x:c r="A15" s="19" t="str">
        <x:v>Lucknow Super Giants</x:v>
      </x:c>
      <x:c r="B15" s="81" t="n">
        <x:f>SUMIFS('Match Data'!$J$2:$J$149,'Match Data'!$E$2:$E$149,$A15)</x:f>
        <x:v>14</x:v>
      </x:c>
      <x:c r="C15" s="81" t="n">
        <x:f>SUMIFS('Match Data'!$I$2:$I$149,'Match Data'!$E$2:$E$149,$A15,'Match Data'!$J$2:$J$149,1)</x:f>
        <x:v>7</x:v>
      </x:c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</x:row>
    <x:row r="16">
      <x:c r="A16" s="19" t="str">
        <x:v>Mumbai Indians</x:v>
      </x:c>
      <x:c r="B16" s="81" t="n">
        <x:f>SUMIFS('Match Data'!$J$2:$J$149,'Match Data'!$E$2:$E$149,$A16)</x:f>
        <x:v>14</x:v>
      </x:c>
      <x:c r="C16" s="81" t="n">
        <x:f>SUMIFS('Match Data'!$I$2:$I$149,'Match Data'!$E$2:$E$149,$A16,'Match Data'!$J$2:$J$149,1)</x:f>
        <x:v>4</x:v>
      </x:c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</x:row>
    <x:row r="17">
      <x:c r="A17" s="19" t="str">
        <x:v>Punjab Kings</x:v>
      </x:c>
      <x:c r="B17" s="81" t="n">
        <x:f>SUMIFS('Match Data'!$J$2:$J$149,'Match Data'!$E$2:$E$149,$A17)</x:f>
        <x:v>14</x:v>
      </x:c>
      <x:c r="C17" s="81" t="n">
        <x:f>SUMIFS('Match Data'!$I$2:$I$149,'Match Data'!$E$2:$E$149,$A17,'Match Data'!$J$2:$J$149,1)</x:f>
        <x:v>5</x:v>
      </x:c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</x:row>
    <x:row r="18">
      <x:c r="A18" s="19" t="str">
        <x:v>Rajasthan Royals</x:v>
      </x:c>
      <x:c r="B18" s="81" t="n">
        <x:f>SUMIFS('Match Data'!$J$2:$J$149,'Match Data'!$E$2:$E$149,$A18)</x:f>
        <x:v>16</x:v>
      </x:c>
      <x:c r="C18" s="81" t="n">
        <x:f>SUMIFS('Match Data'!$I$2:$I$149,'Match Data'!$E$2:$E$149,$A18,'Match Data'!$J$2:$J$149,1)</x:f>
        <x:v>9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</x:row>
    <x:row r="19">
      <x:c r="A19" s="19" t="str">
        <x:v>Royal Challengers Bengaluru</x:v>
      </x:c>
      <x:c r="B19" s="81" t="n">
        <x:f>SUMIFS('Match Data'!$J$2:$J$149,'Match Data'!$E$2:$E$149,$A19)</x:f>
        <x:v>15</x:v>
      </x:c>
      <x:c r="C19" s="81" t="n">
        <x:f>SUMIFS('Match Data'!$I$2:$I$149,'Match Data'!$E$2:$E$149,$A19,'Match Data'!$J$2:$J$149,1)</x:f>
        <x:v>6</x:v>
      </x:c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</x:row>
    <x:row r="20">
      <x:c r="A20" s="19" t="str">
        <x:v>Sunrisers Hyderabad</x:v>
      </x:c>
      <x:c r="B20" s="81" t="n">
        <x:f>SUMIFS('Match Data'!$J$2:$J$149,'Match Data'!$E$2:$E$149,$A20)</x:f>
        <x:v>17</x:v>
      </x:c>
      <x:c r="C20" s="81" t="n">
        <x:f>SUMIFS('Match Data'!$I$2:$I$149,'Match Data'!$E$2:$E$149,$A20,'Match Data'!$J$2:$J$149,1)</x:f>
        <x:v>10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>
      <x:c r="A22" s="104" t="str">
        <x:v>How to use: choose a Venue from the dropdown, then change Timeline Start / End. Both dashboard charts, KPIs and team summary respond to the same controls.</x:v>
      </x:c>
      <x:c r="B22" s="104"/>
      <x:c r="C22" s="104"/>
      <x:c r="D22" s="104"/>
      <x:c r="E22" s="104"/>
      <x:c r="F22" s="104"/>
      <x:c r="G22" s="104"/>
      <x:c r="H22" s="104"/>
      <x:c r="I22" s="107"/>
      <x:c r="J22" s="107"/>
      <x:c r="K22" s="107"/>
      <x:c r="L22" s="107"/>
      <x:c r="M22" s="107"/>
      <x:c r="N22" s="107"/>
    </x:row>
    <x:row r="23">
      <x:c r="A23" s="104"/>
      <x:c r="B23" s="104"/>
      <x:c r="C23" s="104"/>
      <x:c r="D23" s="104"/>
      <x:c r="E23" s="104"/>
      <x:c r="F23" s="104"/>
      <x:c r="G23" s="104"/>
      <x:c r="H23" s="104"/>
      <x:c r="I23" s="107"/>
      <x:c r="J23" s="107"/>
      <x:c r="K23" s="107"/>
      <x:c r="L23" s="107"/>
      <x:c r="M23" s="107"/>
      <x:c r="N23" s="107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19"/>
      <x:c r="J24" s="19"/>
      <x:c r="K24" s="19"/>
      <x:c r="L24" s="19"/>
      <x:c r="M24" s="19"/>
      <x:c r="N24" s="19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19"/>
      <x:c r="J25" s="19"/>
      <x:c r="K25" s="19"/>
      <x:c r="L25" s="19"/>
      <x:c r="M25" s="19"/>
      <x:c r="N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</x:row>
  </x:sheetData>
  <x:mergeCells>
    <x:mergeCell ref="A1:H2"/>
    <x:mergeCell ref="A22:H25"/>
    <x:mergeCell ref="A1:N1"/>
    <x:mergeCell ref="A3:H3"/>
    <x:mergeCell ref="A22:N23"/>
  </x:mergeCells>
  <x:conditionalFormatting sqref="C11:C20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dataValidations count="1">
    <x:dataValidation type="list" sqref="B4">
      <x:formula1>Lists!$A$2:$A$14</x:formula1>
    </x:dataValidation>
  </x:dataValidations>
  <x:pageMargins left="0.7" right="0.7" top="0.75" bottom="0.75" header="0.3" footer="0.3"/>
  <x:drawing xmlns:r="http://schemas.openxmlformats.org/officeDocument/2006/relationships" r:id="R69683aff8651414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2C55E"/>
            </x14:dataBar>
          </x14:cfRule>
          <xm:sqref>C11:C20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14" hidden="0" customWidth="1"/>
  </x:cols>
  <x:sheetData>
    <x:row r="1">
      <x:c r="A1" s="110" t="str">
        <x:v>🏆 Matches Won by Team per Year — Highlight Top Performer</x:v>
      </x:c>
      <x:c r="B1" s="110"/>
      <x:c r="C1" s="110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</x:row>
    <x:row r="2">
      <x:c r="A2" s="19"/>
      <x:c r="B2" s="19"/>
      <x:c r="C2" s="19"/>
    </x:row>
    <x:row r="3">
      <x:c r="A3" s="84" t="str">
        <x:v>Team</x:v>
      </x:c>
      <x:c r="B3" s="84" t="str">
        <x:v>2024 Wins</x:v>
      </x:c>
      <x:c r="C3" s="84" t="str">
        <x:v>Top Performer?</x:v>
      </x:c>
      <x:c r="D3" s="84" t="str">
        <x:v>Top Wins Series</x:v>
      </x:c>
    </x:row>
    <x:row r="4">
      <x:c r="A4" s="70" t="str">
        <x:v>Chennai Super Kings</x:v>
      </x:c>
      <x:c r="B4" s="70" t="n">
        <x:f>SUMIFS('Match Data'!$I$2:$I$149,'Match Data'!$E$2:$E$149,A4)</x:f>
        <x:v>7</x:v>
      </x:c>
      <x:c r="C4" s="70" t="str">
        <x:f>IF(B4=MAX($B$4:$B$13),"★ Top Performer","")</x:f>
      </x:c>
      <x:c r="D4" s="19" t="n">
        <x:f>IF(B4=MAX($B$4:$B$13),B4,0)</x:f>
        <x:v>0</x:v>
      </x:c>
    </x:row>
    <x:row r="5">
      <x:c r="A5" s="19" t="str">
        <x:v>Delhi Capitals</x:v>
      </x:c>
      <x:c r="B5" s="19" t="n">
        <x:f>SUMIFS('Match Data'!$I$2:$I$149,'Match Data'!$E$2:$E$149,A5)</x:f>
        <x:v>7</x:v>
      </x:c>
      <x:c r="C5" s="19" t="str">
        <x:f>IF(B5=MAX($B$4:$B$13),"★ Top Performer","")</x:f>
      </x:c>
      <x:c r="D5" s="19" t="n">
        <x:f>IF(B5=MAX($B$4:$B$13),B5,0)</x:f>
        <x:v>0</x:v>
      </x:c>
    </x:row>
    <x:row r="6">
      <x:c r="A6" s="19" t="str">
        <x:v>Gujarat Titans</x:v>
      </x:c>
      <x:c r="B6" s="19" t="n">
        <x:f>SUMIFS('Match Data'!$I$2:$I$149,'Match Data'!$E$2:$E$149,A6)</x:f>
        <x:v>5</x:v>
      </x:c>
      <x:c r="C6" s="19" t="str">
        <x:f>IF(B6=MAX($B$4:$B$13),"★ Top Performer","")</x:f>
      </x:c>
      <x:c r="D6" s="19" t="n">
        <x:f>IF(B6=MAX($B$4:$B$13),B6,0)</x:f>
        <x:v>0</x:v>
      </x:c>
    </x:row>
    <x:row r="7">
      <x:c r="A7" s="19" t="str">
        <x:v>Kolkata Knight Riders</x:v>
      </x:c>
      <x:c r="B7" s="19" t="n">
        <x:f>SUMIFS('Match Data'!$I$2:$I$149,'Match Data'!$E$2:$E$149,A7)</x:f>
        <x:v>11</x:v>
      </x:c>
      <x:c r="C7" s="19" t="str">
        <x:f>IF(B7=MAX($B$4:$B$13),"★ Top Performer","")</x:f>
        <x:v>★ Top Performer</x:v>
      </x:c>
      <x:c r="D7" s="19" t="n">
        <x:f>IF(B7=MAX($B$4:$B$13),B7,0)</x:f>
        <x:v>11</x:v>
      </x:c>
    </x:row>
    <x:row r="8">
      <x:c r="A8" s="19" t="str">
        <x:v>Lucknow Super Giants</x:v>
      </x:c>
      <x:c r="B8" s="19" t="n">
        <x:f>SUMIFS('Match Data'!$I$2:$I$149,'Match Data'!$E$2:$E$149,A8)</x:f>
        <x:v>7</x:v>
      </x:c>
      <x:c r="C8" s="19" t="str">
        <x:f>IF(B8=MAX($B$4:$B$13),"★ Top Performer","")</x:f>
      </x:c>
      <x:c r="D8" s="19" t="n">
        <x:f>IF(B8=MAX($B$4:$B$13),B8,0)</x:f>
        <x:v>0</x:v>
      </x:c>
    </x:row>
    <x:row r="9">
      <x:c r="A9" s="19" t="str">
        <x:v>Mumbai Indians</x:v>
      </x:c>
      <x:c r="B9" s="19" t="n">
        <x:f>SUMIFS('Match Data'!$I$2:$I$149,'Match Data'!$E$2:$E$149,A9)</x:f>
        <x:v>4</x:v>
      </x:c>
      <x:c r="C9" s="19" t="str">
        <x:f>IF(B9=MAX($B$4:$B$13),"★ Top Performer","")</x:f>
      </x:c>
      <x:c r="D9" s="19" t="n">
        <x:f>IF(B9=MAX($B$4:$B$13),B9,0)</x:f>
        <x:v>0</x:v>
      </x:c>
    </x:row>
    <x:row r="10">
      <x:c r="A10" s="19" t="str">
        <x:v>Punjab Kings</x:v>
      </x:c>
      <x:c r="B10" s="19" t="n">
        <x:f>SUMIFS('Match Data'!$I$2:$I$149,'Match Data'!$E$2:$E$149,A10)</x:f>
        <x:v>5</x:v>
      </x:c>
      <x:c r="C10" s="19" t="str">
        <x:f>IF(B10=MAX($B$4:$B$13),"★ Top Performer","")</x:f>
      </x:c>
      <x:c r="D10" s="19" t="n">
        <x:f>IF(B10=MAX($B$4:$B$13),B10,0)</x:f>
        <x:v>0</x:v>
      </x:c>
    </x:row>
    <x:row r="11">
      <x:c r="A11" s="19" t="str">
        <x:v>Rajasthan Royals</x:v>
      </x:c>
      <x:c r="B11" s="19" t="n">
        <x:f>SUMIFS('Match Data'!$I$2:$I$149,'Match Data'!$E$2:$E$149,A11)</x:f>
        <x:v>9</x:v>
      </x:c>
      <x:c r="C11" s="19" t="str">
        <x:f>IF(B11=MAX($B$4:$B$13),"★ Top Performer","")</x:f>
      </x:c>
      <x:c r="D11" s="19" t="n">
        <x:f>IF(B11=MAX($B$4:$B$13),B11,0)</x:f>
        <x:v>0</x:v>
      </x:c>
    </x:row>
    <x:row r="12">
      <x:c r="A12" s="19" t="str">
        <x:v>Royal Challengers Bengaluru</x:v>
      </x:c>
      <x:c r="B12" s="19" t="n">
        <x:f>SUMIFS('Match Data'!$I$2:$I$149,'Match Data'!$E$2:$E$149,A12)</x:f>
        <x:v>6</x:v>
      </x:c>
      <x:c r="C12" s="19" t="str">
        <x:f>IF(B12=MAX($B$4:$B$13),"★ Top Performer","")</x:f>
      </x:c>
      <x:c r="D12" s="19" t="n">
        <x:f>IF(B12=MAX($B$4:$B$13),B12,0)</x:f>
        <x:v>0</x:v>
      </x:c>
    </x:row>
    <x:row r="13">
      <x:c r="A13" s="19" t="str">
        <x:v>Sunrisers Hyderabad</x:v>
      </x:c>
      <x:c r="B13" s="19" t="n">
        <x:f>SUMIFS('Match Data'!$I$2:$I$149,'Match Data'!$E$2:$E$149,A13)</x:f>
        <x:v>10</x:v>
      </x:c>
      <x:c r="C13" s="19" t="str">
        <x:f>IF(B13=MAX($B$4:$B$13),"★ Top Performer","")</x:f>
      </x:c>
      <x:c r="D13" s="19" t="n">
        <x:f>IF(B13=MAX($B$4:$B$13),B13,0)</x:f>
        <x:v>0</x:v>
      </x:c>
    </x:row>
    <x:row r="14">
      <x:c r="A14" s="19"/>
      <x:c r="B14" s="19"/>
      <x:c r="C14" s="19"/>
    </x:row>
    <x:row r="16">
      <x:c r="A16" s="116" t="str">
        <x:v>Source: https://fixturedownload.com/view/json/ipl-2024 | Note: yellow-highlighted row is the highest win total in the sample year.</x:v>
      </x:c>
      <x:c r="B16" s="116"/>
      <x:c r="C16" s="116"/>
      <x:c r="D16" s="116"/>
      <x:c r="E16" s="116"/>
      <x:c r="F16" s="116"/>
      <x:c r="G16" s="116"/>
      <x:c r="H16" s="116"/>
      <x:c r="I16" s="116"/>
      <x:c r="J16" s="116"/>
      <x:c r="K16" s="116"/>
      <x:c r="L16" s="116"/>
      <x:c r="M16" s="116"/>
    </x:row>
    <x:row r="17">
      <x:c r="A17" s="116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6"/>
    </x:row>
    <x:row r="18">
      <x:c r="A18" s="65"/>
      <x:c r="B18" s="65"/>
      <x:c r="C18" s="65"/>
      <x:c r="D18" s="65"/>
    </x:row>
    <x:row r="19">
      <x:c r="A19" s="65"/>
      <x:c r="B19" s="65"/>
      <x:c r="C19" s="65"/>
      <x:c r="D19" s="65"/>
    </x:row>
  </x:sheetData>
  <x:mergeCells>
    <x:mergeCell ref="A1:C2"/>
    <x:mergeCell ref="A16:D19"/>
    <x:mergeCell ref="A1:M1"/>
    <x:mergeCell ref="A16:M17"/>
  </x:mergeCells>
  <x:conditionalFormatting sqref="B5:B14">
    <x:cfRule type="dataBar" priority="1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{2E53EA3F-467E-F025-FCAB-D61CC4F3EDBB}</x14:id>
        </x:ext>
      </x:extLst>
    </x:cfRule>
    <x:cfRule type="cellIs" dxfId="0" priority="2">
      <x:formula>MAX($B$5:$B$14)</x:formula>
    </x:cfRule>
  </x:conditionalFormatting>
  <x:conditionalFormatting sqref="C5:C14">
    <x:cfRule type="expression" dxfId="1" priority="3">
      <x:formula>C5="★ Top Performer"</x:formula>
    </x:cfRule>
  </x:conditionalFormatting>
  <x:conditionalFormatting sqref="B4:B13">
    <x:cfRule type="expression" dxfId="2" priority="4">
      <x:formula>B4=MAX($B$4:$B$13)</x:formula>
    </x:cfRule>
  </x:conditionalFormatting>
  <x:conditionalFormatting sqref="C4:C13">
    <x:cfRule type="expression" dxfId="3" priority="5">
      <x:formula>C4="★ Top Performer"</x:formula>
    </x:cfRule>
  </x:conditionalFormatting>
  <x:pageMargins left="0.7" right="0.7" top="0.75" bottom="0.75" header="0.3" footer="0.3"/>
  <x:drawing xmlns:r="http://schemas.openxmlformats.org/officeDocument/2006/relationships" r:id="R9ffd3b33330b4b7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E53EA3F-467E-F025-FCAB-D61CC4F3EDBB}">
            <x14:dataBar gradient="1">
              <x14:cfvo type="min"/>
              <x14:cfvo type="max"/>
              <x14:fillColor rgb="FFF59E0B"/>
            </x14:dataBar>
          </x14:cfRule>
          <xm:sqref>B5:B14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5" max="5" width="22" hidden="0" customWidth="1"/>
    <x:col min="6" max="6" width="62" hidden="0" customWidth="1"/>
    <x:col min="1" max="1" width="34" hidden="0" customWidth="1"/>
    <x:col min="2" max="2" width="4" hidden="0" customWidth="1"/>
    <x:col min="3" max="3" width="20" hidden="0" customWidth="1"/>
    <x:col min="4" max="4" width="4" hidden="0" customWidth="1"/>
  </x:cols>
  <x:sheetData>
    <x:row r="1">
      <x:c r="A1" s="84" t="str">
        <x:v>Venue Filter Values</x:v>
      </x:c>
      <x:c r="B1" s="84"/>
      <x:c r="C1" s="84" t="str">
        <x:v>Timeline Month Starts</x:v>
      </x:c>
      <x:c r="D1" s="84"/>
      <x:c r="E1" s="84" t="str">
        <x:v>Workbook Notes</x:v>
      </x:c>
      <x:c r="F1" s="84" t="str">
        <x:v>Details</x:v>
      </x:c>
    </x:row>
    <x:row r="2">
      <x:c r="A2" s="19" t="str">
        <x:v>All Venues</x:v>
      </x:c>
      <x:c r="B2" s="19"/>
      <x:c r="C2" s="86" t="n">
        <x:v>45352</x:v>
      </x:c>
      <x:c r="D2" s="19"/>
      <x:c r="E2" s="19" t="str">
        <x:v>Dataset</x:v>
      </x:c>
      <x:c r="F2" s="19" t="str">
        <x:v>IPL 2024 fixtures/results sample (74 matches)</x:v>
      </x:c>
    </x:row>
    <x:row r="3">
      <x:c r="A3" s="19" t="str">
        <x:v>MA Chidambaram Stadium</x:v>
      </x:c>
      <x:c r="B3" s="19"/>
      <x:c r="C3" s="86" t="n">
        <x:v>45383</x:v>
      </x:c>
      <x:c r="D3" s="19"/>
      <x:c r="E3" s="19" t="str">
        <x:v>Source</x:v>
      </x:c>
      <x:c r="F3" s="19" t="str">
        <x:v>https://fixturedownload.com/view/json/ipl-2024</x:v>
      </x:c>
    </x:row>
    <x:row r="4">
      <x:c r="A4" s="19" t="str">
        <x:v>PCA New Stadium</x:v>
      </x:c>
      <x:c r="B4" s="19"/>
      <x:c r="C4" s="86" t="n">
        <x:v>45413</x:v>
      </x:c>
      <x:c r="D4" s="19"/>
      <x:c r="E4" s="19" t="str">
        <x:v>Interactive filter</x:v>
      </x:c>
      <x:c r="F4" s="19" t="str">
        <x:v>Venue dropdown + Start/End date controls</x:v>
      </x:c>
    </x:row>
    <x:row r="5">
      <x:c r="A5" s="19" t="str">
        <x:v>Eden Gardens</x:v>
      </x:c>
      <x:c r="B5" s="19"/>
      <x:c r="C5" s="19"/>
      <x:c r="D5" s="19"/>
      <x:c r="E5" s="19" t="str">
        <x:v>Native slicers</x:v>
      </x:c>
      <x:c r="F5" s="19" t="str">
        <x:v>Excel Slicer/Timeline objects are not supported by artifact_tool; controls are formula-linked equivalents</x:v>
      </x:c>
    </x:row>
    <x:row r="6">
      <x:c r="A6" s="19" t="str">
        <x:v>Sawai Mansingh Stadium</x:v>
      </x:c>
      <x:c r="B6" s="19"/>
      <x:c r="C6" s="19"/>
      <x:c r="D6" s="19"/>
      <x:c r="E6" s="19"/>
      <x:c r="F6" s="19"/>
    </x:row>
    <x:row r="7">
      <x:c r="A7" s="19" t="str">
        <x:v>Narendra Modi Stadium</x:v>
      </x:c>
      <x:c r="B7" s="19"/>
      <x:c r="C7" s="19"/>
      <x:c r="D7" s="19"/>
      <x:c r="E7" s="19"/>
      <x:c r="F7" s="19"/>
    </x:row>
    <x:row r="8">
      <x:c r="A8" s="19" t="str">
        <x:v>M Chinnaswamy Stadium</x:v>
      </x:c>
      <x:c r="B8" s="19"/>
      <x:c r="C8" s="19"/>
      <x:c r="D8" s="19"/>
      <x:c r="E8" s="19"/>
      <x:c r="F8" s="19"/>
    </x:row>
    <x:row r="9">
      <x:c r="A9" s="19" t="str">
        <x:v>Rajiv Gandhi International Stadium</x:v>
      </x:c>
      <x:c r="B9" s="19"/>
      <x:c r="C9" s="19"/>
      <x:c r="D9" s="19"/>
      <x:c r="E9" s="19"/>
      <x:c r="F9" s="19"/>
    </x:row>
    <x:row r="10">
      <x:c r="A10" s="19" t="str">
        <x:v>BRSABV Ekana Cricket Stadium</x:v>
      </x:c>
      <x:c r="B10" s="19"/>
      <x:c r="C10" s="19"/>
      <x:c r="D10" s="19"/>
      <x:c r="E10" s="19"/>
      <x:c r="F10" s="19"/>
    </x:row>
    <x:row r="11">
      <x:c r="A11" s="19" t="str">
        <x:v>ACA–VDCA Cricket Stadium</x:v>
      </x:c>
      <x:c r="B11" s="19"/>
      <x:c r="C11" s="19"/>
      <x:c r="D11" s="19"/>
      <x:c r="E11" s="19"/>
      <x:c r="F11" s="19"/>
    </x:row>
    <x:row r="12">
      <x:c r="A12" s="19" t="str">
        <x:v>Wankhede Stadium</x:v>
      </x:c>
      <x:c r="B12" s="19"/>
      <x:c r="C12" s="19"/>
      <x:c r="D12" s="19"/>
      <x:c r="E12" s="19"/>
      <x:c r="F12" s="19"/>
    </x:row>
    <x:row r="13">
      <x:c r="A13" s="19" t="str">
        <x:v>Arun Jaitley Stadium</x:v>
      </x:c>
      <x:c r="B13" s="19"/>
      <x:c r="C13" s="19"/>
      <x:c r="D13" s="19"/>
      <x:c r="E13" s="19"/>
      <x:c r="F13" s="19"/>
    </x:row>
    <x:row r="14">
      <x:c r="A14" s="19" t="str">
        <x:v>Punjab Cricket Association IS Bindra Stadium</x:v>
      </x:c>
      <x:c r="B14" s="19"/>
      <x:c r="C14" s="19"/>
      <x:c r="D14" s="19"/>
      <x:c r="E14" s="19"/>
      <x:c r="F14" s="19"/>
    </x:row>
    <x:row r="15">
      <x:c r="A15" s="19" t="str">
        <x:v>Himachal Pradesh Cricket Association Stadium</x:v>
      </x:c>
      <x:c r="B15" s="19"/>
      <x:c r="C15" s="19"/>
      <x:c r="D15" s="19"/>
      <x:c r="E15" s="19"/>
      <x:c r="F15" s="19"/>
    </x:row>
    <x:row r="16">
      <x:c r="A16" s="19"/>
      <x:c r="B16" s="19"/>
      <x:c r="C16" s="19"/>
      <x:c r="D16" s="19"/>
      <x:c r="E16" s="19"/>
      <x:c r="F16" s="19"/>
    </x:row>
    <x:row r="17">
      <x:c r="A17" s="19"/>
      <x:c r="B17" s="19"/>
      <x:c r="C17" s="19"/>
      <x:c r="D17" s="19"/>
      <x:c r="E17" s="19"/>
      <x:c r="F17" s="19"/>
    </x:row>
    <x:row r="18">
      <x:c r="A18" s="19"/>
      <x:c r="B18" s="19"/>
      <x:c r="C18" s="19"/>
      <x:c r="D18" s="19"/>
      <x:c r="E18" s="19"/>
      <x:c r="F18" s="19"/>
    </x:row>
    <x:row r="19">
      <x:c r="A19" s="19"/>
      <x:c r="B19" s="19"/>
      <x:c r="C19" s="19"/>
      <x:c r="D19" s="19"/>
      <x:c r="E19" s="19"/>
      <x:c r="F19" s="19"/>
    </x:row>
    <x:row r="20">
      <x:c r="A20" s="19"/>
      <x:c r="B20" s="19"/>
      <x:c r="C20" s="19"/>
      <x:c r="D20" s="19"/>
      <x:c r="E20" s="19"/>
      <x:c r="F20" s="19"/>
    </x:row>
  </x:sheetData>
  <x:pageMargins left="0.7" right="0.7" top="0.75" bottom="0.75" header="0.3" footer="0.3"/>
</x:worksheet>
</file>