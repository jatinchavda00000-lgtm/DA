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0d941fd26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f7f67c670be484b"/>
    <x:sheet xmlns:r="http://schemas.openxmlformats.org/officeDocument/2006/relationships" name="Data" sheetId="2" r:id="R9938351b3eb0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"/>
    <x:numFmt numFmtId="201" formatCode="0"/>
  </x:numFmts>
  <x:fonts count="10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  <x:font>
      <x:b/>
      <x:sz val="22"/>
      <x:color rgb="FFFFFFFF"/>
      <x:name val="Carlito"/>
    </x:font>
    <x:font>
      <x:sz val="10"/>
      <x:color rgb="FFB3B3B3"/>
      <x:name val="Carlito"/>
    </x:font>
    <x:font>
      <x:b/>
      <x:sz val="11"/>
      <x:color rgb="FF1DB954"/>
      <x:name val="Carlito"/>
    </x:font>
    <x:font>
      <x:b/>
      <x:sz val="9"/>
      <x:color rgb="FFB3B3B3"/>
      <x:name val="Carlito"/>
    </x:font>
    <x:font>
      <x:b/>
      <x:sz val="22"/>
      <x:color rgb="FF1DB954"/>
      <x:name val="Carlito"/>
    </x:font>
    <x:font>
      <x:sz val="10"/>
      <x:color rgb="FFFFFFFF"/>
      <x:name val="Carlito"/>
    </x:font>
    <x:font>
      <x:b/>
      <x:sz val="9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1212"/>
      </x:patternFill>
    </x:fill>
    <x:fill>
      <x:patternFill patternType="solid">
        <x:fgColor rgb="FF1E1E1E"/>
      </x:patternFill>
    </x:fill>
    <x:fill>
      <x:patternFill patternType="solid">
        <x:fgColor rgb="FF1DB954"/>
      </x:patternFill>
    </x:fill>
    <x:fill>
      <x:patternFill patternType="solid">
        <x:fgColor rgb="FF242424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1" fontId="2" fillId="5" borderId="0" xfId="0" applyNumberFormat="1" applyFont="1" applyFill="1" applyBorder="1"/>
    <x:xf numFmtId="201" fontId="2" fillId="5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left"/>
    </x:xf>
    <x:xf numFmtId="0" fontId="6" fillId="3" borderId="1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left"/>
    </x:xf>
    <x:xf numFmtId="200" fontId="7" fillId="3" borderId="0" xfId="0" applyNumberFormat="1" applyFont="1" applyFill="1" applyBorder="1" applyAlignment="1">
      <x:alignment horizontal="left" vertical="center"/>
    </x:xf>
    <x:xf numFmtId="0" fontId="7" fillId="3" borderId="1" xfId="0" applyNumberFormat="1" applyFont="1" applyFill="1" applyBorder="1"/>
    <x:xf numFmtId="200" fontId="7" fillId="3" borderId="1" xfId="0" applyNumberFormat="1" applyFont="1" applyFill="1" applyBorder="1"/>
    <x:xf numFmtId="200" fontId="7" fillId="3" borderId="1" xfId="0" applyNumberFormat="1" applyFont="1" applyFill="1" applyBorder="1" applyAlignment="1">
      <x:alignment horizontal="left"/>
    </x:xf>
    <x:xf numFmtId="200" fontId="7" fillId="3" borderId="1" xfId="0" applyNumberFormat="1" applyFont="1" applyFill="1" applyBorder="1" applyAlignment="1">
      <x:alignment horizontal="left" vertical="center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left" wrapText="1"/>
    </x:xf>
    <x:xf numFmtId="0" fontId="8" fillId="5" borderId="0" xfId="0" applyNumberFormat="1" applyFont="1" applyFill="1" applyBorder="1" applyAlignment="1">
      <x:alignment horizontal="left" vertical="center"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left" wrapText="1"/>
    </x:xf>
    <x:xf numFmtId="0" fontId="8" fillId="5" borderId="1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horizontal="left" vertical="center"/>
    </x:xf>
    <x:xf numFmtId="200" fontId="3" fillId="3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8" fillId="2" borderId="1" xfId="0" applyNumberFormat="1" applyFont="1" applyFill="1" applyBorder="1"/>
    <x:xf numFmtId="0" fontId="1" fillId="5" borderId="1" xfId="0" applyNumberFormat="1" applyFont="1" applyFill="1" applyBorder="1" applyAlignment="1">
      <x:alignment horizontal="left" vertical="center"/>
    </x:xf>
    <x:xf numFmtId="0" fontId="9" fillId="3" borderId="1" xfId="0" applyNumberFormat="1" applyFont="1" applyFill="1" applyBorder="1" applyAlignment="1">
      <x:alignment horizontal="left" vertical="center"/>
    </x:xf>
    <x:xf numFmtId="200" fontId="3" fillId="3" borderId="1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/>
  </x:cellXfs>
  <x:cellStyles count="1">
    <x:cellStyle name="Normal" xfId="0"/>
  </x:cellStyles>
  <x:dxfs count="2">
    <x:dxf>
      <x:font>
        <x:color rgb="FFE95C5C"/>
      </x:font>
    </x:dxf>
    <x:dxf>
      <x:font>
        <x:color rgb="FF1DB95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0e57114f9488e" /><Relationship Type="http://schemas.openxmlformats.org/officeDocument/2006/relationships/theme" Target="/xl/theme/theme1.xml" Id="R5a1f0204d12e4157" /><Relationship Type="http://schemas.openxmlformats.org/officeDocument/2006/relationships/sharedStrings" Target="/xl/sharedStrings.xml" Id="R54e882fe5f4a4926" /><Relationship Type="http://schemas.openxmlformats.org/officeDocument/2006/relationships/worksheet" Target="/xl/worksheets/sheet1.xml" Id="R5f7f67c670be484b" /><Relationship Type="http://schemas.openxmlformats.org/officeDocument/2006/relationships/worksheet" Target="/xl/worksheets/sheet2.xml" Id="R9938351b3eb041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548963587045d1" /><Relationship Type="http://schemas.openxmlformats.org/officeDocument/2006/relationships/chart" Target="/xl/drawings/charts/chart2.xml" Id="Rf7f08c5659414b11" /><Relationship Type="http://schemas.openxmlformats.org/officeDocument/2006/relationships/chart" Target="/xl/drawings/charts/chart3.xml" Id="R02493e599e3544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Total Orders</a:t>
            </a:r>
          </a:p>
        </c:rich>
      </c:tx>
    </c:title>
    <c:plotArea>
      <c:lineChart>
        <c:grouping val="standard"/>
        <c:ser>
          <c:idx val="0"/>
          <c:order val="0"/>
          <c:tx>
            <c:v>Orders</c:v>
          </c:tx>
          <c:marker>
            <c:symbol val="none"/>
          </c:marker>
          <c:cat>
            <c:strRef>
              <c:f>'Dashboard'!$A$14:$A$19</c:f>
              <c:strCache>
                <c:ptCount val="0"/>
              </c:strCache>
            </c:strRef>
          </c:cat>
          <c:val>
            <c:numRef>
              <c:f>'Dashboard'!$B$14:$B$19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Cuisine Mix</a:t>
            </a:r>
          </a:p>
        </c:rich>
      </c:tx>
    </c:title>
    <c:plotArea>
      <c:doughnutChart>
        <c:ser>
          <c:idx val="0"/>
          <c:order val="0"/>
          <c:tx>
            <c:v>Order Count</c:v>
          </c:tx>
          <c:cat>
            <c:strRef>
              <c:f>'Data'!$F$2:$F$5</c:f>
              <c:strCache>
                <c:ptCount val="0"/>
              </c:strCache>
            </c:strRef>
          </c:cat>
          <c:val>
            <c:numRef>
              <c:f>'Data'!$G$2:$G$5</c:f>
              <c:numCache>
                <c:formatCode>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MoM Order Change — Waterfall</a:t>
            </a:r>
          </a:p>
        </c:rich>
      </c:tx>
    </c:title>
    <c:plotArea>
      <c:barChart>
        <c:barDir val="col"/>
        <c:grouping val="stacked"/>
        <c:varyColors val="0"/>
        <c:ser>
          <c:idx val="0"/>
          <c:order val="0"/>
          <c:tx>
            <c:v>Base</c:v>
          </c:tx>
          <c:cat>
            <c:strRef>
              <c:f>'Dashboard'!$A$22:$A$27</c:f>
              <c:strCache>
                <c:ptCount val="0"/>
              </c:strCache>
            </c:strRef>
          </c:cat>
          <c:val>
            <c:numRef>
              <c:f>'Dashboard'!$B$22:$B$27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Change</c:v>
          </c:tx>
          <c:cat>
            <c:strRef>
              <c:f>'Dashboard'!$A$22:$A$27</c:f>
              <c:strCache>
                <c:ptCount val="0"/>
              </c:strCache>
            </c:strRef>
          </c:cat>
          <c:val>
            <c:numRef>
              <c:f>'Dashboard'!$C$22:$C$27</c:f>
              <c:numCache>
                <c:formatCode>0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548963587045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f08c5659414b1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493e599e354496"/>
        </a:graphicData>
      </a:graphic>
    </xdr:graphicFrame>
    <xdr:clientData/>
  </xdr:twoCellAnchor>
  <xdr:oneCellAnchor>
    <xdr:from>
      <xdr:col>12</xdr:col>
      <xdr:colOff>0</xdr:colOff>
      <xdr:row>0</xdr:row>
      <xdr:rowOff>0</xdr:rowOff>
    </xdr:from>
    <xdr:ext cx="1143000" cy="114300"/>
    <xdr:sp>
      <xdr:nvSpPr>
        <xdr:cNvPr id="4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143000" cy="114300"/>
        </a:xfrm>
        <a:prstGeom xmlns:a="http://schemas.openxmlformats.org/drawingml/2006/main" prst="rect">
          <a:avLst/>
        </a:prstGeom>
        <a:solidFill xmlns:a="http://schemas.openxmlformats.org/drawingml/2006/main">
          <a:srgbClr val="1DB954"/>
        </a:solidFill>
        <a:ln xmlns:a="http://schemas.openxmlformats.org/drawingml/2006/main" w="9525">
          <a:solidFill>
            <a:srgbClr val="1DB954"/>
          </a:solidFill>
          <a:prstDash val="solid"/>
        </a:ln>
      </xdr:spPr>
    </xdr:sp>
    <xdr:clientData/>
  </xdr:oneCellAnchor>
</xdr:wsDr>
</file>

<file path=xl/tables/table1.xml><?xml version="1.0" encoding="utf-8"?>
<x:table xmlns:x="http://schemas.openxmlformats.org/spreadsheetml/2006/main" id="1" name="OrdersTable" displayName="OrdersTable" ref="A1:D31" headerRowCount="1" totalsRowCount="0" totalsRowShown="0">
  <x:tableColumns count="4">
    <x:tableColumn id="1" name="Order ID"/>
    <x:tableColumn id="2" name="Order Date"/>
    <x:tableColumn id="3" name="Cuisine Type"/>
    <x:tableColumn id="4" name="Order 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e41302c66646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d217fa0a2947e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2" hidden="0" customWidth="1"/>
    <x:col min="6" max="6" width="13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24" customHeight="1">
      <x:c r="A1" s="30" t="str">
        <x:v>ZOMATO / SWIGGY — FOOD DELIVERY ANALYTICS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 ht="24" customHeight="1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 ht="24" customHeight="1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 ht="18" customHeight="1">
      <x:c r="A4" s="66" t="str">
        <x:v>Executive dashboard • Sample dataset • Feb 2026 snapshot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A6" s="67" t="str">
        <x:v>KPIs</x:v>
      </x:c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</x:row>
    <x:row r="7">
      <x:c r="A7" s="68" t="str">
        <x:v>MIN ORDER VALUE</x:v>
      </x:c>
      <x:c r="B7" s="11"/>
      <x:c r="C7" s="11"/>
      <x:c r="D7" s="11"/>
      <x:c r="E7" s="26"/>
      <x:c r="F7" s="68" t="str">
        <x:v>MAX ORDER VALUE</x:v>
      </x:c>
      <x:c r="G7" s="11"/>
      <x:c r="H7" s="11"/>
      <x:c r="I7" s="11"/>
      <x:c r="J7" s="26"/>
      <x:c r="K7" s="68" t="str">
        <x:v>AVERAGE ORDER VALUE</x:v>
      </x:c>
      <x:c r="L7" s="11"/>
      <x:c r="M7" s="11"/>
      <x:c r="N7" s="11"/>
    </x:row>
    <x:row r="8">
      <x:c r="A8" s="11"/>
      <x:c r="B8" s="11"/>
      <x:c r="C8" s="11"/>
      <x:c r="D8" s="11"/>
      <x:c r="E8" s="26"/>
      <x:c r="F8" s="11"/>
      <x:c r="G8" s="11"/>
      <x:c r="H8" s="11"/>
      <x:c r="I8" s="11"/>
      <x:c r="J8" s="26"/>
      <x:c r="K8" s="11"/>
      <x:c r="L8" s="11"/>
      <x:c r="M8" s="11"/>
      <x:c r="N8" s="11"/>
    </x:row>
    <x:row r="9">
      <x:c r="A9" s="69" t="n">
        <x:f>MIN(Data!$D$2:$D$31)</x:f>
        <x:v>310</x:v>
      </x:c>
      <x:c r="B9" s="11"/>
      <x:c r="C9" s="11"/>
      <x:c r="D9" s="11"/>
      <x:c r="E9" s="26"/>
      <x:c r="F9" s="69" t="n">
        <x:f>MAX(Data!$D$2:$D$31)</x:f>
        <x:v>920</x:v>
      </x:c>
      <x:c r="G9" s="11"/>
      <x:c r="H9" s="11"/>
      <x:c r="I9" s="11"/>
      <x:c r="J9" s="26"/>
      <x:c r="K9" s="69" t="n">
        <x:f>AVERAGE(Data!$D$2:$D$31)</x:f>
        <x:v>588.6666666666666</x:v>
      </x:c>
      <x:c r="L9" s="11"/>
      <x:c r="M9" s="11"/>
      <x:c r="N9" s="11"/>
    </x:row>
    <x:row r="10">
      <x:c r="A10" s="11"/>
      <x:c r="B10" s="11"/>
      <x:c r="C10" s="11"/>
      <x:c r="D10" s="11"/>
      <x:c r="E10" s="26"/>
      <x:c r="F10" s="11"/>
      <x:c r="G10" s="11"/>
      <x:c r="H10" s="11"/>
      <x:c r="I10" s="11"/>
      <x:c r="J10" s="26"/>
      <x:c r="K10" s="11"/>
      <x:c r="L10" s="11"/>
      <x:c r="M10" s="11"/>
      <x:c r="N10" s="11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</x:row>
    <x:row r="12">
      <x:c r="A12" s="67" t="str">
        <x:v>TRENDS</x:v>
      </x:c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</x:row>
    <x:row r="13">
      <x:c r="A13" s="17" t="str">
        <x:v>Monthly</x:v>
      </x:c>
      <x:c r="B13" s="17" t="str">
        <x:v>Orders</x:v>
      </x:c>
      <x:c r="C13" s="17" t="str">
        <x:v>Change</x:v>
      </x:c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>
      <x:c r="A14" s="21" t="str">
        <x:v>Jan-26</x:v>
      </x:c>
      <x:c r="B14" s="24" t="n">
        <x:v>18</x:v>
      </x:c>
      <x:c r="C14" s="24" t="n">
        <x:v>0</x:v>
      </x:c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</x:row>
    <x:row r="15">
      <x:c r="A15" s="21" t="str">
        <x:v>Feb-26</x:v>
      </x:c>
      <x:c r="B15" s="24" t="n">
        <x:v>12</x:v>
      </x:c>
      <x:c r="C15" s="24" t="n">
        <x:v>-6</x:v>
      </x:c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>
      <x:c r="A16" s="21" t="str">
        <x:v>Mar-26</x:v>
      </x:c>
      <x:c r="B16" s="24" t="n">
        <x:v>15</x:v>
      </x:c>
      <x:c r="C16" s="24" t="n">
        <x:v>3</x:v>
      </x:c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>
      <x:c r="A17" s="21" t="str">
        <x:v>Apr-26</x:v>
      </x:c>
      <x:c r="B17" s="24" t="n">
        <x:v>22</x:v>
      </x:c>
      <x:c r="C17" s="24" t="n">
        <x:v>7</x:v>
      </x:c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>
      <x:c r="A18" s="21" t="str">
        <x:v>May-26</x:v>
      </x:c>
      <x:c r="B18" s="24" t="n">
        <x:v>19</x:v>
      </x:c>
      <x:c r="C18" s="24" t="n">
        <x:v>-3</x:v>
      </x:c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A19" s="21" t="str">
        <x:v>Jun-26</x:v>
      </x:c>
      <x:c r="B19" s="24" t="n">
        <x:v>25</x:v>
      </x:c>
      <x:c r="C19" s="24" t="n">
        <x:v>6</x:v>
      </x:c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A20" s="21" t="str"/>
      <x:c r="B20" s="21"/>
      <x:c r="C20" s="21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17" t="str">
        <x:v>Month</x:v>
      </x:c>
      <x:c r="B21" s="17" t="str">
        <x:v>Base</x:v>
      </x:c>
      <x:c r="C21" s="17" t="str">
        <x:v>Change</x:v>
      </x:c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A22" s="21" t="str">
        <x:v>Jan-26</x:v>
      </x:c>
      <x:c r="B22" s="24" t="n">
        <x:v>0</x:v>
      </x:c>
      <x:c r="C22" s="24" t="n">
        <x:v>18</x:v>
      </x:c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>
      <x:c r="A23" s="21" t="str">
        <x:v>Feb-26</x:v>
      </x:c>
      <x:c r="B23" s="24" t="n">
        <x:v>18</x:v>
      </x:c>
      <x:c r="C23" s="24" t="n">
        <x:v>-6</x:v>
      </x:c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>
      <x:c r="A24" s="21" t="str">
        <x:v>Mar-26</x:v>
      </x:c>
      <x:c r="B24" s="24" t="n">
        <x:v>12</x:v>
      </x:c>
      <x:c r="C24" s="24" t="n">
        <x:v>3</x:v>
      </x:c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 ht="20" customHeight="1">
      <x:c r="A25" s="21" t="str">
        <x:v>Apr-26</x:v>
      </x:c>
      <x:c r="B25" s="24" t="n">
        <x:v>15</x:v>
      </x:c>
      <x:c r="C25" s="24" t="n">
        <x:v>7</x:v>
      </x:c>
      <x:c r="D25" s="26"/>
      <x:c r="E25" s="26"/>
      <x:c r="F25" s="26"/>
      <x:c r="G25" s="26"/>
      <x:c r="H25" s="26"/>
      <x:c r="I25" s="38" t="str">
        <x:v>INSIGHTS</x:v>
      </x:c>
      <x:c r="J25" s="26"/>
      <x:c r="K25" s="26"/>
      <x:c r="L25" s="26"/>
      <x:c r="M25" s="26"/>
      <x:c r="N25" s="26"/>
    </x:row>
    <x:row r="26" ht="21" customHeight="1">
      <x:c r="A26" s="21" t="str">
        <x:v>May-26</x:v>
      </x:c>
      <x:c r="B26" s="24" t="n">
        <x:v>22</x:v>
      </x:c>
      <x:c r="C26" s="24" t="n">
        <x:v>-3</x:v>
      </x:c>
      <x:c r="D26" s="26"/>
      <x:c r="E26" s="26"/>
      <x:c r="F26" s="26"/>
      <x:c r="G26" s="26"/>
      <x:c r="H26" s="26"/>
      <x:c r="I26" s="61" t="str">
        <x:v>INSIGHT 01  •  Indian cuisine leads order frequency in the sample.</x:v>
      </x:c>
      <x:c r="J26" s="26"/>
      <x:c r="K26" s="26"/>
      <x:c r="L26" s="26"/>
      <x:c r="M26" s="26"/>
      <x:c r="N26" s="26"/>
    </x:row>
    <x:row r="27" ht="21" customHeight="1">
      <x:c r="A27" s="21" t="str">
        <x:v>Jun-26</x:v>
      </x:c>
      <x:c r="B27" s="24" t="n">
        <x:v>19</x:v>
      </x:c>
      <x:c r="C27" s="24" t="n">
        <x:v>6</x:v>
      </x:c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 ht="21" customHeight="1">
      <x:c r="A28" s="26"/>
      <x:c r="B28" s="26"/>
      <x:c r="C28" s="26"/>
      <x:c r="D28" s="26"/>
      <x:c r="E28" s="26"/>
      <x:c r="F28" s="26"/>
      <x:c r="G28" s="26"/>
      <x:c r="H28" s="26"/>
      <x:c r="I28" s="61"/>
      <x:c r="J28" s="26"/>
      <x:c r="K28" s="26"/>
      <x:c r="L28" s="26"/>
      <x:c r="M28" s="26"/>
      <x:c r="N28" s="26"/>
    </x:row>
    <x:row r="29" ht="21" customHeight="1">
      <x:c r="A29" s="67"/>
      <x:c r="B29" s="26"/>
      <x:c r="C29" s="26"/>
      <x:c r="D29" s="26"/>
      <x:c r="E29" s="26"/>
      <x:c r="F29" s="26"/>
      <x:c r="G29" s="26"/>
      <x:c r="H29" s="26"/>
      <x:c r="I29" s="61" t="str">
        <x:v>INSIGHT 02  •  Apr-26 shows the strongest positive monthly jump, while Feb-26 is the softest month.</x:v>
      </x:c>
      <x:c r="J29" s="26"/>
      <x:c r="K29" s="26"/>
      <x:c r="L29" s="26"/>
      <x:c r="M29" s="26"/>
      <x:c r="N29" s="26"/>
    </x:row>
    <x:row r="30" ht="21" customHeight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 ht="21" customHeight="1">
      <x:c r="A31" s="26"/>
      <x:c r="B31" s="26"/>
      <x:c r="C31" s="26"/>
      <x:c r="D31" s="26"/>
      <x:c r="E31" s="26"/>
      <x:c r="F31" s="26"/>
      <x:c r="G31" s="26"/>
      <x:c r="H31" s="26"/>
      <x:c r="I31" s="61"/>
      <x:c r="J31" s="26"/>
      <x:c r="K31" s="26"/>
      <x:c r="L31" s="26"/>
      <x:c r="M31" s="26"/>
      <x:c r="N31" s="26"/>
    </x:row>
    <x:row r="32" ht="21" customHeight="1">
      <x:c r="A32" s="26"/>
      <x:c r="B32" s="26"/>
      <x:c r="C32" s="26"/>
      <x:c r="D32" s="26"/>
      <x:c r="E32" s="26"/>
      <x:c r="F32" s="26"/>
      <x:c r="G32" s="26"/>
      <x:c r="H32" s="26"/>
      <x:c r="I32" s="61" t="str">
        <x:v>INSIGHT 03  •  KPI cards use live MIN / MAX / AVERAGE formulas tied directly to the order dataset.</x:v>
      </x:c>
      <x:c r="J32" s="26"/>
      <x:c r="K32" s="26"/>
      <x:c r="L32" s="26"/>
      <x:c r="M32" s="26"/>
      <x:c r="N32" s="26"/>
    </x:row>
    <x:row r="33" ht="21" customHeight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 ht="21" customHeight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70"/>
      <x:c r="B35" s="70"/>
      <x:c r="C35" s="70"/>
      <x:c r="D35" s="70"/>
      <x:c r="E35" s="70"/>
      <x:c r="F35" s="70"/>
      <x:c r="G35" s="70"/>
      <x:c r="H35" s="70"/>
      <x:c r="I35" s="70"/>
      <x:c r="J35" s="70"/>
      <x:c r="K35" s="70"/>
      <x:c r="L35" s="70"/>
      <x:c r="M35" s="70"/>
      <x:c r="N35" s="70"/>
    </x:row>
    <x:row r="36">
      <x:c r="A36" s="70"/>
      <x:c r="B36" s="70"/>
      <x:c r="C36" s="70"/>
      <x:c r="D36" s="70"/>
      <x:c r="E36" s="70"/>
      <x:c r="F36" s="70"/>
      <x:c r="G36" s="70"/>
      <x:c r="H36" s="70"/>
      <x:c r="I36" s="70"/>
      <x:c r="J36" s="70"/>
      <x:c r="K36" s="70"/>
      <x:c r="L36" s="70"/>
      <x:c r="M36" s="70"/>
      <x:c r="N36" s="70"/>
    </x:row>
    <x:row r="37">
      <x:c r="A37" s="70"/>
      <x:c r="B37" s="70"/>
      <x:c r="C37" s="70"/>
      <x:c r="D37" s="70"/>
      <x:c r="E37" s="70"/>
      <x:c r="F37" s="70"/>
      <x:c r="G37" s="70"/>
      <x:c r="H37" s="70"/>
      <x:c r="I37" s="70"/>
      <x:c r="J37" s="70"/>
      <x:c r="K37" s="70"/>
      <x:c r="L37" s="70"/>
      <x:c r="M37" s="70"/>
      <x:c r="N37" s="70"/>
    </x:row>
    <x:row r="38">
      <x:c r="A38" s="70"/>
      <x:c r="B38" s="70"/>
      <x:c r="C38" s="70"/>
      <x:c r="D38" s="70"/>
      <x:c r="E38" s="70"/>
      <x:c r="F38" s="70"/>
      <x:c r="G38" s="70"/>
      <x:c r="H38" s="70"/>
      <x:c r="I38" s="70"/>
      <x:c r="J38" s="70"/>
      <x:c r="K38" s="70"/>
      <x:c r="L38" s="70"/>
      <x:c r="M38" s="70"/>
      <x:c r="N38" s="70"/>
    </x:row>
    <x:row r="39">
      <x:c r="A39" s="70"/>
      <x:c r="B39" s="70"/>
      <x:c r="C39" s="70"/>
      <x:c r="D39" s="70"/>
      <x:c r="E39" s="70"/>
      <x:c r="F39" s="70"/>
      <x:c r="G39" s="70"/>
      <x:c r="H39" s="70"/>
      <x:c r="I39" s="70"/>
      <x:c r="J39" s="70"/>
      <x:c r="K39" s="70"/>
      <x:c r="L39" s="70"/>
      <x:c r="M39" s="70"/>
      <x:c r="N39" s="70"/>
    </x:row>
    <x:row r="40">
      <x:c r="A40" s="70"/>
      <x:c r="B40" s="70"/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  <x:c r="M40" s="70"/>
      <x:c r="N40" s="70"/>
    </x:row>
  </x:sheetData>
  <x:mergeCells>
    <x:mergeCell ref="A1:N3"/>
    <x:mergeCell ref="A4:N4"/>
    <x:mergeCell ref="A6:N6"/>
    <x:mergeCell ref="A12:N12"/>
    <x:mergeCell ref="A7:D8"/>
    <x:mergeCell ref="A9:D10"/>
    <x:mergeCell ref="F7:I8"/>
    <x:mergeCell ref="F9:I10"/>
    <x:mergeCell ref="K7:N8"/>
    <x:mergeCell ref="K9:N10"/>
    <x:mergeCell ref="I25:N25"/>
    <x:mergeCell ref="I26:N28"/>
    <x:mergeCell ref="I29:N31"/>
    <x:mergeCell ref="I32:N34"/>
  </x:mergeCells>
  <x:conditionalFormatting sqref="C14:C19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a4e41302c66646b1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15" hidden="0" customWidth="1"/>
  </x:cols>
  <x:sheetData>
    <x:row r="1">
      <x:c r="A1" s="5" t="str">
        <x:v>Order ID</x:v>
      </x:c>
      <x:c r="B1" s="5" t="str">
        <x:v>Order Date</x:v>
      </x:c>
      <x:c r="C1" s="5" t="str">
        <x:v>Cuisine Type</x:v>
      </x:c>
      <x:c r="D1" s="5" t="str">
        <x:v>Order Amount</x:v>
      </x:c>
      <x:c r="F1" s="17" t="str">
        <x:v>Cuisine</x:v>
      </x:c>
      <x:c r="G1" s="17" t="str">
        <x:v>Order Count</x:v>
      </x:c>
    </x:row>
    <x:row r="2">
      <x:c r="A2" s="11" t="n">
        <x:v>1001</x:v>
      </x:c>
      <x:c r="B2" s="11" t="str">
        <x:v>2026-01-03</x:v>
      </x:c>
      <x:c r="C2" s="11" t="str">
        <x:v>Indian</x:v>
      </x:c>
      <x:c r="D2" s="14" t="n">
        <x:v>420</x:v>
      </x:c>
      <x:c r="F2" s="21" t="str">
        <x:v>Indian</x:v>
      </x:c>
      <x:c r="G2" s="24" t="n">
        <x:f>COUNTIF($C$2:$C$31,F2)</x:f>
        <x:v>10</x:v>
      </x:c>
    </x:row>
    <x:row r="3">
      <x:c r="A3" s="11" t="n">
        <x:v>1002</x:v>
      </x:c>
      <x:c r="B3" s="11" t="str">
        <x:v>2026-01-04</x:v>
      </x:c>
      <x:c r="C3" s="11" t="str">
        <x:v>Chinese</x:v>
      </x:c>
      <x:c r="D3" s="14" t="n">
        <x:v>680</x:v>
      </x:c>
      <x:c r="F3" s="21" t="str">
        <x:v>Chinese</x:v>
      </x:c>
      <x:c r="G3" s="24" t="n">
        <x:f>COUNTIF($C$2:$C$31,F3)</x:f>
        <x:v>8</x:v>
      </x:c>
    </x:row>
    <x:row r="4">
      <x:c r="A4" s="11" t="n">
        <x:v>1003</x:v>
      </x:c>
      <x:c r="B4" s="11" t="str">
        <x:v>2026-01-04</x:v>
      </x:c>
      <x:c r="C4" s="11" t="str">
        <x:v>Italian</x:v>
      </x:c>
      <x:c r="D4" s="14" t="n">
        <x:v>520</x:v>
      </x:c>
      <x:c r="F4" s="21" t="str">
        <x:v>Italian</x:v>
      </x:c>
      <x:c r="G4" s="24" t="n">
        <x:f>COUNTIF($C$2:$C$31,F4)</x:f>
        <x:v>7</x:v>
      </x:c>
    </x:row>
    <x:row r="5">
      <x:c r="A5" s="11" t="n">
        <x:v>1004</x:v>
      </x:c>
      <x:c r="B5" s="11" t="str">
        <x:v>2026-01-06</x:v>
      </x:c>
      <x:c r="C5" s="11" t="str">
        <x:v>Indian</x:v>
      </x:c>
      <x:c r="D5" s="14" t="n">
        <x:v>310</x:v>
      </x:c>
      <x:c r="F5" s="21" t="str">
        <x:v>Mexican</x:v>
      </x:c>
      <x:c r="G5" s="24" t="n">
        <x:f>COUNTIF($C$2:$C$31,F5)</x:f>
        <x:v>5</x:v>
      </x:c>
    </x:row>
    <x:row r="6">
      <x:c r="A6" s="11" t="n">
        <x:v>1005</x:v>
      </x:c>
      <x:c r="B6" s="11" t="str">
        <x:v>2026-01-08</x:v>
      </x:c>
      <x:c r="C6" s="11" t="str">
        <x:v>Mexican</x:v>
      </x:c>
      <x:c r="D6" s="14" t="n">
        <x:v>760</x:v>
      </x:c>
    </x:row>
    <x:row r="7">
      <x:c r="A7" s="11" t="n">
        <x:v>1006</x:v>
      </x:c>
      <x:c r="B7" s="11" t="str">
        <x:v>2026-01-10</x:v>
      </x:c>
      <x:c r="C7" s="11" t="str">
        <x:v>Chinese</x:v>
      </x:c>
      <x:c r="D7" s="14" t="n">
        <x:v>450</x:v>
      </x:c>
    </x:row>
    <x:row r="8">
      <x:c r="A8" s="11" t="n">
        <x:v>1007</x:v>
      </x:c>
      <x:c r="B8" s="11" t="str">
        <x:v>2026-01-11</x:v>
      </x:c>
      <x:c r="C8" s="11" t="str">
        <x:v>Indian</x:v>
      </x:c>
      <x:c r="D8" s="14" t="n">
        <x:v>560</x:v>
      </x:c>
      <x:c r="F8" s="17" t="str">
        <x:v>Month</x:v>
      </x:c>
      <x:c r="G8" s="17" t="str">
        <x:v>Total Orders</x:v>
      </x:c>
      <x:c r="H8" s="17" t="str">
        <x:v>MoM Change</x:v>
      </x:c>
    </x:row>
    <x:row r="9">
      <x:c r="A9" s="11" t="n">
        <x:v>1008</x:v>
      </x:c>
      <x:c r="B9" s="11" t="str">
        <x:v>2026-01-14</x:v>
      </x:c>
      <x:c r="C9" s="11" t="str">
        <x:v>Italian</x:v>
      </x:c>
      <x:c r="D9" s="14" t="n">
        <x:v>890</x:v>
      </x:c>
      <x:c r="F9" s="21" t="str">
        <x:v>Jan-26</x:v>
      </x:c>
      <x:c r="G9" s="24" t="n">
        <x:v>18</x:v>
      </x:c>
      <x:c r="H9" s="24" t="n">
        <x:v>0</x:v>
      </x:c>
    </x:row>
    <x:row r="10">
      <x:c r="A10" s="11" t="n">
        <x:v>1009</x:v>
      </x:c>
      <x:c r="B10" s="11" t="str">
        <x:v>2026-01-17</x:v>
      </x:c>
      <x:c r="C10" s="11" t="str">
        <x:v>Chinese</x:v>
      </x:c>
      <x:c r="D10" s="14" t="n">
        <x:v>640</x:v>
      </x:c>
      <x:c r="F10" s="21" t="str">
        <x:v>Feb-26</x:v>
      </x:c>
      <x:c r="G10" s="24" t="n">
        <x:v>12</x:v>
      </x:c>
      <x:c r="H10" s="24" t="n">
        <x:f>G10-G9</x:f>
        <x:v>-6</x:v>
      </x:c>
    </x:row>
    <x:row r="11">
      <x:c r="A11" s="11" t="n">
        <x:v>1010</x:v>
      </x:c>
      <x:c r="B11" s="11" t="str">
        <x:v>2026-01-18</x:v>
      </x:c>
      <x:c r="C11" s="11" t="str">
        <x:v>Indian</x:v>
      </x:c>
      <x:c r="D11" s="14" t="n">
        <x:v>390</x:v>
      </x:c>
      <x:c r="F11" s="21" t="str">
        <x:v>Mar-26</x:v>
      </x:c>
      <x:c r="G11" s="24" t="n">
        <x:v>15</x:v>
      </x:c>
      <x:c r="H11" s="24" t="n">
        <x:f>G11-G10</x:f>
        <x:v>3</x:v>
      </x:c>
    </x:row>
    <x:row r="12">
      <x:c r="A12" s="11" t="n">
        <x:v>1011</x:v>
      </x:c>
      <x:c r="B12" s="11" t="str">
        <x:v>2026-01-20</x:v>
      </x:c>
      <x:c r="C12" s="11" t="str">
        <x:v>Mexican</x:v>
      </x:c>
      <x:c r="D12" s="14" t="n">
        <x:v>720</x:v>
      </x:c>
      <x:c r="F12" s="21" t="str">
        <x:v>Apr-26</x:v>
      </x:c>
      <x:c r="G12" s="24" t="n">
        <x:v>22</x:v>
      </x:c>
      <x:c r="H12" s="24" t="n">
        <x:f>G12-G11</x:f>
        <x:v>7</x:v>
      </x:c>
    </x:row>
    <x:row r="13">
      <x:c r="A13" s="11" t="n">
        <x:v>1012</x:v>
      </x:c>
      <x:c r="B13" s="11" t="str">
        <x:v>2026-01-21</x:v>
      </x:c>
      <x:c r="C13" s="11" t="str">
        <x:v>Italian</x:v>
      </x:c>
      <x:c r="D13" s="14" t="n">
        <x:v>610</x:v>
      </x:c>
      <x:c r="F13" s="21" t="str">
        <x:v>May-26</x:v>
      </x:c>
      <x:c r="G13" s="24" t="n">
        <x:v>19</x:v>
      </x:c>
      <x:c r="H13" s="24" t="n">
        <x:f>G13-G12</x:f>
        <x:v>-3</x:v>
      </x:c>
    </x:row>
    <x:row r="14">
      <x:c r="A14" s="11" t="n">
        <x:v>1013</x:v>
      </x:c>
      <x:c r="B14" s="11" t="str">
        <x:v>2026-01-23</x:v>
      </x:c>
      <x:c r="C14" s="11" t="str">
        <x:v>Indian</x:v>
      </x:c>
      <x:c r="D14" s="14" t="n">
        <x:v>330</x:v>
      </x:c>
      <x:c r="F14" s="21" t="str">
        <x:v>Jun-26</x:v>
      </x:c>
      <x:c r="G14" s="24" t="n">
        <x:v>25</x:v>
      </x:c>
      <x:c r="H14" s="24" t="n">
        <x:f>G14-G13</x:f>
        <x:v>6</x:v>
      </x:c>
    </x:row>
    <x:row r="15">
      <x:c r="A15" s="11" t="n">
        <x:v>1014</x:v>
      </x:c>
      <x:c r="B15" s="11" t="str">
        <x:v>2026-01-24</x:v>
      </x:c>
      <x:c r="C15" s="11" t="str">
        <x:v>Chinese</x:v>
      </x:c>
      <x:c r="D15" s="14" t="n">
        <x:v>510</x:v>
      </x:c>
    </x:row>
    <x:row r="16">
      <x:c r="A16" s="11" t="n">
        <x:v>1015</x:v>
      </x:c>
      <x:c r="B16" s="11" t="str">
        <x:v>2026-01-25</x:v>
      </x:c>
      <x:c r="C16" s="11" t="str">
        <x:v>Italian</x:v>
      </x:c>
      <x:c r="D16" s="14" t="n">
        <x:v>740</x:v>
      </x:c>
    </x:row>
    <x:row r="17">
      <x:c r="A17" s="11" t="n">
        <x:v>1016</x:v>
      </x:c>
      <x:c r="B17" s="11" t="str">
        <x:v>2026-01-27</x:v>
      </x:c>
      <x:c r="C17" s="11" t="str">
        <x:v>Indian</x:v>
      </x:c>
      <x:c r="D17" s="14" t="n">
        <x:v>450</x:v>
      </x:c>
    </x:row>
    <x:row r="18">
      <x:c r="A18" s="11" t="n">
        <x:v>1017</x:v>
      </x:c>
      <x:c r="B18" s="11" t="str">
        <x:v>2026-01-29</x:v>
      </x:c>
      <x:c r="C18" s="11" t="str">
        <x:v>Mexican</x:v>
      </x:c>
      <x:c r="D18" s="14" t="n">
        <x:v>810</x:v>
      </x:c>
    </x:row>
    <x:row r="19">
      <x:c r="A19" s="11" t="n">
        <x:v>1018</x:v>
      </x:c>
      <x:c r="B19" s="11" t="str">
        <x:v>2026-02-02</x:v>
      </x:c>
      <x:c r="C19" s="11" t="str">
        <x:v>Chinese</x:v>
      </x:c>
      <x:c r="D19" s="14" t="n">
        <x:v>580</x:v>
      </x:c>
    </x:row>
    <x:row r="20">
      <x:c r="A20" s="11" t="n">
        <x:v>1019</x:v>
      </x:c>
      <x:c r="B20" s="11" t="str">
        <x:v>2026-02-03</x:v>
      </x:c>
      <x:c r="C20" s="11" t="str">
        <x:v>Indian</x:v>
      </x:c>
      <x:c r="D20" s="14" t="n">
        <x:v>470</x:v>
      </x:c>
    </x:row>
    <x:row r="21">
      <x:c r="A21" s="11" t="n">
        <x:v>1020</x:v>
      </x:c>
      <x:c r="B21" s="11" t="str">
        <x:v>2026-02-05</x:v>
      </x:c>
      <x:c r="C21" s="11" t="str">
        <x:v>Italian</x:v>
      </x:c>
      <x:c r="D21" s="14" t="n">
        <x:v>920</x:v>
      </x:c>
    </x:row>
    <x:row r="22">
      <x:c r="A22" s="11" t="n">
        <x:v>1021</x:v>
      </x:c>
      <x:c r="B22" s="11" t="str">
        <x:v>2026-02-07</x:v>
      </x:c>
      <x:c r="C22" s="11" t="str">
        <x:v>Chinese</x:v>
      </x:c>
      <x:c r="D22" s="14" t="n">
        <x:v>430</x:v>
      </x:c>
    </x:row>
    <x:row r="23">
      <x:c r="A23" s="11" t="n">
        <x:v>1022</x:v>
      </x:c>
      <x:c r="B23" s="11" t="str">
        <x:v>2026-02-09</x:v>
      </x:c>
      <x:c r="C23" s="11" t="str">
        <x:v>Indian</x:v>
      </x:c>
      <x:c r="D23" s="14" t="n">
        <x:v>610</x:v>
      </x:c>
    </x:row>
    <x:row r="24">
      <x:c r="A24" s="11" t="n">
        <x:v>1023</x:v>
      </x:c>
      <x:c r="B24" s="11" t="str">
        <x:v>2026-02-11</x:v>
      </x:c>
      <x:c r="C24" s="11" t="str">
        <x:v>Mexican</x:v>
      </x:c>
      <x:c r="D24" s="14" t="n">
        <x:v>690</x:v>
      </x:c>
    </x:row>
    <x:row r="25">
      <x:c r="A25" s="11" t="n">
        <x:v>1024</x:v>
      </x:c>
      <x:c r="B25" s="11" t="str">
        <x:v>2026-02-12</x:v>
      </x:c>
      <x:c r="C25" s="11" t="str">
        <x:v>Italian</x:v>
      </x:c>
      <x:c r="D25" s="14" t="n">
        <x:v>550</x:v>
      </x:c>
    </x:row>
    <x:row r="26">
      <x:c r="A26" s="11" t="n">
        <x:v>1025</x:v>
      </x:c>
      <x:c r="B26" s="11" t="str">
        <x:v>2026-02-14</x:v>
      </x:c>
      <x:c r="C26" s="11" t="str">
        <x:v>Indian</x:v>
      </x:c>
      <x:c r="D26" s="14" t="n">
        <x:v>380</x:v>
      </x:c>
    </x:row>
    <x:row r="27">
      <x:c r="A27" s="11" t="n">
        <x:v>1026</x:v>
      </x:c>
      <x:c r="B27" s="11" t="str">
        <x:v>2026-02-16</x:v>
      </x:c>
      <x:c r="C27" s="11" t="str">
        <x:v>Chinese</x:v>
      </x:c>
      <x:c r="D27" s="14" t="n">
        <x:v>620</x:v>
      </x:c>
    </x:row>
    <x:row r="28">
      <x:c r="A28" s="11" t="n">
        <x:v>1027</x:v>
      </x:c>
      <x:c r="B28" s="11" t="str">
        <x:v>2026-02-18</x:v>
      </x:c>
      <x:c r="C28" s="11" t="str">
        <x:v>Italian</x:v>
      </x:c>
      <x:c r="D28" s="14" t="n">
        <x:v>770</x:v>
      </x:c>
    </x:row>
    <x:row r="29">
      <x:c r="A29" s="11" t="n">
        <x:v>1028</x:v>
      </x:c>
      <x:c r="B29" s="11" t="str">
        <x:v>2026-02-20</x:v>
      </x:c>
      <x:c r="C29" s="11" t="str">
        <x:v>Indian</x:v>
      </x:c>
      <x:c r="D29" s="14" t="n">
        <x:v>520</x:v>
      </x:c>
    </x:row>
    <x:row r="30">
      <x:c r="A30" s="11" t="n">
        <x:v>1029</x:v>
      </x:c>
      <x:c r="B30" s="11" t="str">
        <x:v>2026-02-22</x:v>
      </x:c>
      <x:c r="C30" s="11" t="str">
        <x:v>Chinese</x:v>
      </x:c>
      <x:c r="D30" s="14" t="n">
        <x:v>490</x:v>
      </x:c>
    </x:row>
    <x:row r="31">
      <x:c r="A31" s="11" t="n">
        <x:v>1030</x:v>
      </x:c>
      <x:c r="B31" s="11" t="str">
        <x:v>2026-02-24</x:v>
      </x:c>
      <x:c r="C31" s="11" t="str">
        <x:v>Mexican</x:v>
      </x:c>
      <x:c r="D31" s="14" t="n">
        <x:v>840</x:v>
      </x:c>
    </x:row>
  </x:sheetData>
  <x:pageMargins left="0.7" right="0.7" top="0.75" bottom="0.75" header="0.3" footer="0.3"/>
  <x:tableParts count="1">
    <x:tablePart xmlns:r="http://schemas.openxmlformats.org/officeDocument/2006/relationships" r:id="R52d217fa0a2947e1"/>
  </x:tableParts>
</x:worksheet>
</file>