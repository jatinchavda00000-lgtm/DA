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0d3880082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6c51b2012254ae6"/>
    <x:sheet xmlns:r="http://schemas.openxmlformats.org/officeDocument/2006/relationships" name="Restaurants" sheetId="2" r:id="R196b5134053642f9"/>
    <x:sheet xmlns:r="http://schemas.openxmlformats.org/officeDocument/2006/relationships" name="Orders" sheetId="3" r:id="Ref1386d04c7e461f"/>
    <x:sheet xmlns:r="http://schemas.openxmlformats.org/officeDocument/2006/relationships" name="Zone Stats" sheetId="4" r:id="R06ea5c21904d4d02"/>
    <x:sheet xmlns:r="http://schemas.openxmlformats.org/officeDocument/2006/relationships" name="Dashboard" sheetId="5" r:id="Ra494be77ee83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₹#,##0.00"/>
    <x:numFmt numFmtId="202" formatCode="0.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ba63a7d544ff1" /><Relationship Type="http://schemas.openxmlformats.org/officeDocument/2006/relationships/theme" Target="/xl/theme/theme1.xml" Id="R3b259744e9174801" /><Relationship Type="http://schemas.openxmlformats.org/officeDocument/2006/relationships/sharedStrings" Target="/xl/sharedStrings.xml" Id="R24d3d86ffa9d4c00" /><Relationship Type="http://schemas.openxmlformats.org/officeDocument/2006/relationships/worksheet" Target="/xl/worksheets/sheet1.xml" Id="Rd6c51b2012254ae6" /><Relationship Type="http://schemas.openxmlformats.org/officeDocument/2006/relationships/worksheet" Target="/xl/worksheets/sheet2.xml" Id="R196b5134053642f9" /><Relationship Type="http://schemas.openxmlformats.org/officeDocument/2006/relationships/worksheet" Target="/xl/worksheets/sheet3.xml" Id="Ref1386d04c7e461f" /><Relationship Type="http://schemas.openxmlformats.org/officeDocument/2006/relationships/worksheet" Target="/xl/worksheets/sheet4.xml" Id="R06ea5c21904d4d02" /><Relationship Type="http://schemas.openxmlformats.org/officeDocument/2006/relationships/worksheet" Target="/xl/worksheets/sheet5.xml" Id="Ra494be77ee8342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6b8890576a4a20" /><Relationship Type="http://schemas.openxmlformats.org/officeDocument/2006/relationships/chart" Target="/xl/drawings/charts/chart2.xml" Id="R680f17cab43c46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Cuisine × Zone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North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'Dashboard'!$B$10:$B$13</c:f>
              <c:numCache>
                <c:formatCode>₹#,##0.00</c:formatCode>
                <c:ptCount val="0"/>
              </c:numCache>
            </c:numRef>
          </c:val>
        </c:ser>
        <c:ser>
          <c:idx val="1"/>
          <c:order val="1"/>
          <c:tx>
            <c:v>South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'Dashboard'!$C$10:$C$13</c:f>
              <c:numCache>
                <c:formatCode>₹#,##0.00</c:formatCode>
                <c:ptCount val="0"/>
              </c:numCache>
            </c:numRef>
          </c:val>
        </c:ser>
        <c:ser>
          <c:idx val="2"/>
          <c:order val="2"/>
          <c:tx>
            <c:v>East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'Dashboard'!$D$10:$D$13</c:f>
              <c:numCache>
                <c:formatCode>₹#,##0.00</c:formatCode>
                <c:ptCount val="0"/>
              </c:numCache>
            </c:numRef>
          </c:val>
        </c:ser>
        <c:ser>
          <c:idx val="3"/>
          <c:order val="3"/>
          <c:tx>
            <c:v>West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'Dashboard'!$E$10:$E$13</c:f>
              <c:numCache>
                <c:formatCode>₹#,##0.00</c:formatCode>
                <c:ptCount val="0"/>
              </c:numCache>
            </c:numRef>
          </c:val>
        </c:ser>
        <c:ser>
          <c:idx val="4"/>
          <c:order val="4"/>
          <c:tx>
            <c:v>Central</c:v>
          </c:tx>
          <c:cat>
            <c:strRef>
              <c:f>'Dashboard'!$A$10:$A$13</c:f>
              <c:strCache>
                <c:ptCount val="0"/>
              </c:strCache>
            </c:strRef>
          </c:cat>
          <c:val>
            <c:numRef>
              <c:f>'Dashboard'!$F$10:$F$13</c:f>
              <c:numCache>
                <c:formatCode>₹#,##0.00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Order Count by Month</a:t>
            </a:r>
          </a:p>
        </c:rich>
      </c:tx>
    </c:title>
    <c:plotArea>
      <c:lineChart>
        <c:grouping val="standard"/>
        <c:ser>
          <c:idx val="0"/>
          <c:order val="0"/>
          <c:tx>
            <c:v>Order Count</c:v>
          </c:tx>
          <c:marker>
            <c:symbol val="none"/>
          </c:marker>
          <c:cat>
            <c:strRef>
              <c:f>'Dashboard'!$I$10:$I$12</c:f>
              <c:strCache>
                <c:ptCount val="0"/>
              </c:strCache>
            </c:strRef>
          </c:cat>
          <c:val>
            <c:numRef>
              <c:f>'Dashboard'!$J$10:$J$12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13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6b8890576a4a20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0f17cab43c46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apRestaurants" displayName="tblCapRestaurants" ref="A3:E18" headerRowCount="1" totalsRowCount="0" totalsRowShown="0">
  <x:tableColumns count="5">
    <x:tableColumn id="1" name="RestaurantID"/>
    <x:tableColumn id="2" name="RestaurantName"/>
    <x:tableColumn id="3" name="Zone"/>
    <x:tableColumn id="4" name="Category"/>
    <x:tableColumn id="5" name="Avg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Orders" displayName="tblOrders" ref="A3:L183" headerRowCount="1" totalsRowCount="0" totalsRowShown="0">
  <x:tableColumns count="12">
    <x:tableColumn id="1" name="OrderID"/>
    <x:tableColumn id="2" name="RestaurantID"/>
    <x:tableColumn id="3" name="Cuisine"/>
    <x:tableColumn id="4" name="Zone"/>
    <x:tableColumn id="5" name="OrderDate"/>
    <x:tableColumn id="6" name="DeliveryTime"/>
    <x:tableColumn id="7" name="Rating"/>
    <x:tableColumn id="8" name="Revenue"/>
    <x:tableColumn id="9" name="Status"/>
    <x:tableColumn id="10" name="RestaurantName"/>
    <x:tableColumn id="11" name="Category"/>
    <x:tableColumn id="12" name="Outlier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8243e90a2146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975887c37247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723fdb596714bcd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54" hidden="0" customWidth="1"/>
    <x:col min="5" max="5" width="10" hidden="0" customWidth="1"/>
    <x:col min="6" max="6" width="10" hidden="0" customWidth="1"/>
  </x:cols>
  <x:sheetData>
    <x:row r="1">
      <x:c r="A1" s="5" t="str">
        <x:v>M3-A1 — Section C Mini Capstone: Food Delivery Operations Dashboard</x:v>
      </x:c>
      <x:c r="B1" s="5"/>
      <x:c r="C1" s="5"/>
      <x:c r="D1" s="5"/>
      <x:c r="E1" s="5"/>
      <x:c r="F1" s="5"/>
    </x:row>
    <x:row r="3">
      <x:c r="A3" s="14" t="str">
        <x:v>Requirement</x:v>
      </x:c>
      <x:c r="B3" s="14" t="str">
        <x:v>Status</x:v>
      </x:c>
      <x:c r="C3" s="14" t="str">
        <x:v>Sheet</x:v>
      </x:c>
      <x:c r="D3" t="str">
        <x:v>Notes</x:v>
      </x:c>
      <x:c r="E3" t="str"/>
      <x:c r="F3" t="str"/>
    </x:row>
    <x:row r="4">
      <x:c r="A4" t="str">
        <x:v>100+ orders across 5 zones, 4 cuisines, 3 months</x:v>
      </x:c>
      <x:c r="B4" t="str">
        <x:v>Completed</x:v>
      </x:c>
      <x:c r="C4" t="str">
        <x:v>Orders</x:v>
      </x:c>
      <x:c r="D4" t="str">
        <x:v>180 synthetic orders, Apr–Jun 2026</x:v>
      </x:c>
      <x:c r="E4"/>
      <x:c r="F4"/>
    </x:row>
    <x:row r="5">
      <x:c r="A5" t="str">
        <x:v>tblOrders table</x:v>
      </x:c>
      <x:c r="B5" t="str">
        <x:v>Completed</x:v>
      </x:c>
      <x:c r="C5" t="str">
        <x:v>Orders</x:v>
      </x:c>
      <x:c r="D5" t="str">
        <x:v>Named Excel Table</x:v>
      </x:c>
      <x:c r="E5"/>
      <x:c r="F5"/>
    </x:row>
    <x:row r="6">
      <x:c r="A6" t="str">
        <x:v>15 restaurant records</x:v>
      </x:c>
      <x:c r="B6" t="str">
        <x:v>Completed</x:v>
      </x:c>
      <x:c r="C6" t="str">
        <x:v>Restaurants</x:v>
      </x:c>
      <x:c r="D6" t="str">
        <x:v>5 zones × 3 category cycle</x:v>
      </x:c>
      <x:c r="E6"/>
      <x:c r="F6"/>
    </x:row>
    <x:row r="7">
      <x:c r="A7" t="str">
        <x:v>XLOOKUP RestaurantName + Category</x:v>
      </x:c>
      <x:c r="B7" t="str">
        <x:v>Completed</x:v>
      </x:c>
      <x:c r="C7" t="str">
        <x:v>Orders</x:v>
      </x:c>
      <x:c r="D7" t="str">
        <x:v>Not-found returns Unknown</x:v>
      </x:c>
      <x:c r="E7"/>
      <x:c r="F7"/>
    </x:row>
    <x:row r="8">
      <x:c r="A8" t="str">
        <x:v>Zone Stats</x:v>
      </x:c>
      <x:c r="B8" t="str">
        <x:v>Completed</x:v>
      </x:c>
      <x:c r="C8" t="str">
        <x:v>Zone Stats</x:v>
      </x:c>
      <x:c r="D8" t="str">
        <x:v>Mean/Median/Std Dev for DeliveryTime and Revenue</x:v>
      </x:c>
      <x:c r="E8"/>
      <x:c r="F8"/>
    </x:row>
    <x:row r="9">
      <x:c r="A9" t="str">
        <x:v>2 Pivot-style tables + shared controls</x:v>
      </x:c>
      <x:c r="B9" t="str">
        <x:v>Completed</x:v>
      </x:c>
      <x:c r="C9" t="str">
        <x:v>Dashboard</x:v>
      </x:c>
      <x:c r="D9" t="str">
        <x:v>Formula-driven pivot-style summaries + Zone dropdown + timeline cells</x:v>
      </x:c>
      <x:c r="E9"/>
      <x:c r="F9"/>
    </x:row>
    <x:row r="10">
      <x:c r="A10" t="str">
        <x:v>3 KPI cards</x:v>
      </x:c>
      <x:c r="B10" t="str">
        <x:v>Completed</x:v>
      </x:c>
      <x:c r="C10" t="str">
        <x:v>Dashboard</x:v>
      </x:c>
      <x:c r="D10" t="str">
        <x:v>Revenue, rating, on-time delivery %</x:v>
      </x:c>
      <x:c r="E10"/>
      <x:c r="F10"/>
    </x:row>
    <x:row r="11">
      <x:c r="A11" t="str">
        <x:v>Top 10% conditional formatting</x:v>
      </x:c>
      <x:c r="B11" t="str">
        <x:v>Completed</x:v>
      </x:c>
      <x:c r="C11" t="str">
        <x:v>Orders</x:v>
      </x:c>
      <x:c r="D11" t="str">
        <x:v>Applied to Revenue column</x:v>
      </x:c>
      <x:c r="E11"/>
      <x:c r="F1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Capstone — Restaurant Reference Data</x:v>
      </x:c>
      <x:c r="B1" s="5"/>
      <x:c r="C1" s="5"/>
      <x:c r="D1" s="5"/>
      <x:c r="E1" s="5"/>
    </x:row>
    <x:row r="3">
      <x:c r="A3" s="14" t="str">
        <x:v>RestaurantID</x:v>
      </x:c>
      <x:c r="B3" s="14" t="str">
        <x:v>RestaurantName</x:v>
      </x:c>
      <x:c r="C3" s="14" t="str">
        <x:v>Zone</x:v>
      </x:c>
      <x:c r="D3" s="14" t="str">
        <x:v>Category</x:v>
      </x:c>
      <x:c r="E3" s="14" t="str">
        <x:v>AvgRating</x:v>
      </x:c>
    </x:row>
    <x:row r="4">
      <x:c r="A4" t="str">
        <x:v>CR001</x:v>
      </x:c>
      <x:c r="B4" t="str">
        <x:v>Spice Route</x:v>
      </x:c>
      <x:c r="C4" t="str">
        <x:v>North</x:v>
      </x:c>
      <x:c r="D4" t="str">
        <x:v>Cloud Kitchen</x:v>
      </x:c>
      <x:c r="E4" t="n">
        <x:v>4.2</x:v>
      </x:c>
    </x:row>
    <x:row r="5">
      <x:c r="A5" t="str">
        <x:v>CR002</x:v>
      </x:c>
      <x:c r="B5" t="str">
        <x:v>Dosa District</x:v>
      </x:c>
      <x:c r="C5" t="str">
        <x:v>South</x:v>
      </x:c>
      <x:c r="D5" t="str">
        <x:v>Dine-in</x:v>
      </x:c>
      <x:c r="E5" t="n">
        <x:v>3.8</x:v>
      </x:c>
    </x:row>
    <x:row r="6">
      <x:c r="A6" t="str">
        <x:v>CR003</x:v>
      </x:c>
      <x:c r="B6" t="str">
        <x:v>Wok Works</x:v>
      </x:c>
      <x:c r="C6" t="str">
        <x:v>East</x:v>
      </x:c>
      <x:c r="D6" t="str">
        <x:v>QSR</x:v>
      </x:c>
      <x:c r="E6" t="n">
        <x:v>4.1</x:v>
      </x:c>
    </x:row>
    <x:row r="7">
      <x:c r="A7" t="str">
        <x:v>CR004</x:v>
      </x:c>
      <x:c r="B7" t="str">
        <x:v>Pasta Plaza</x:v>
      </x:c>
      <x:c r="C7" t="str">
        <x:v>West</x:v>
      </x:c>
      <x:c r="D7" t="str">
        <x:v>Cloud Kitchen</x:v>
      </x:c>
      <x:c r="E7" t="n">
        <x:v>4.2</x:v>
      </x:c>
    </x:row>
    <x:row r="8">
      <x:c r="A8" t="str">
        <x:v>CR005</x:v>
      </x:c>
      <x:c r="B8" t="str">
        <x:v>Biryani Bay</x:v>
      </x:c>
      <x:c r="C8" t="str">
        <x:v>Central</x:v>
      </x:c>
      <x:c r="D8" t="str">
        <x:v>Dine-in</x:v>
      </x:c>
      <x:c r="E8" t="n">
        <x:v>4</x:v>
      </x:c>
    </x:row>
    <x:row r="9">
      <x:c r="A9" t="str">
        <x:v>CR006</x:v>
      </x:c>
      <x:c r="B9" t="str">
        <x:v>Tandoor Town</x:v>
      </x:c>
      <x:c r="C9" t="str">
        <x:v>North</x:v>
      </x:c>
      <x:c r="D9" t="str">
        <x:v>QSR</x:v>
      </x:c>
      <x:c r="E9" t="n">
        <x:v>4.3</x:v>
      </x:c>
    </x:row>
    <x:row r="10">
      <x:c r="A10" t="str">
        <x:v>CR007</x:v>
      </x:c>
      <x:c r="B10" t="str">
        <x:v>Curry Corner</x:v>
      </x:c>
      <x:c r="C10" t="str">
        <x:v>South</x:v>
      </x:c>
      <x:c r="D10" t="str">
        <x:v>Cloud Kitchen</x:v>
      </x:c>
      <x:c r="E10" t="n">
        <x:v>3.8</x:v>
      </x:c>
    </x:row>
    <x:row r="11">
      <x:c r="A11" t="str">
        <x:v>CR008</x:v>
      </x:c>
      <x:c r="B11" t="str">
        <x:v>Idli House</x:v>
      </x:c>
      <x:c r="C11" t="str">
        <x:v>East</x:v>
      </x:c>
      <x:c r="D11" t="str">
        <x:v>Dine-in</x:v>
      </x:c>
      <x:c r="E11" t="n">
        <x:v>4</x:v>
      </x:c>
    </x:row>
    <x:row r="12">
      <x:c r="A12" t="str">
        <x:v>CR009</x:v>
      </x:c>
      <x:c r="B12" t="str">
        <x:v>Noodle Nest</x:v>
      </x:c>
      <x:c r="C12" t="str">
        <x:v>West</x:v>
      </x:c>
      <x:c r="D12" t="str">
        <x:v>QSR</x:v>
      </x:c>
      <x:c r="E12" t="n">
        <x:v>4.4</x:v>
      </x:c>
    </x:row>
    <x:row r="13">
      <x:c r="A13" t="str">
        <x:v>CR010</x:v>
      </x:c>
      <x:c r="B13" t="str">
        <x:v>Pizza Point</x:v>
      </x:c>
      <x:c r="C13" t="str">
        <x:v>Central</x:v>
      </x:c>
      <x:c r="D13" t="str">
        <x:v>Cloud Kitchen</x:v>
      </x:c>
      <x:c r="E13" t="n">
        <x:v>4.6</x:v>
      </x:c>
    </x:row>
    <x:row r="14">
      <x:c r="A14" t="str">
        <x:v>CR011</x:v>
      </x:c>
      <x:c r="B14" t="str">
        <x:v>Kebab Kingdom</x:v>
      </x:c>
      <x:c r="C14" t="str">
        <x:v>North</x:v>
      </x:c>
      <x:c r="D14" t="str">
        <x:v>Dine-in</x:v>
      </x:c>
      <x:c r="E14" t="n">
        <x:v>4.4</x:v>
      </x:c>
    </x:row>
    <x:row r="15">
      <x:c r="A15" t="str">
        <x:v>CR012</x:v>
      </x:c>
      <x:c r="B15" t="str">
        <x:v>Sushi Street</x:v>
      </x:c>
      <x:c r="C15" t="str">
        <x:v>South</x:v>
      </x:c>
      <x:c r="D15" t="str">
        <x:v>QSR</x:v>
      </x:c>
      <x:c r="E15" t="n">
        <x:v>4</x:v>
      </x:c>
    </x:row>
    <x:row r="16">
      <x:c r="A16" t="str">
        <x:v>CR013</x:v>
      </x:c>
      <x:c r="B16" t="str">
        <x:v>Thali Trails</x:v>
      </x:c>
      <x:c r="C16" t="str">
        <x:v>East</x:v>
      </x:c>
      <x:c r="D16" t="str">
        <x:v>Cloud Kitchen</x:v>
      </x:c>
      <x:c r="E16" t="n">
        <x:v>3.7</x:v>
      </x:c>
    </x:row>
    <x:row r="17">
      <x:c r="A17" t="str">
        <x:v>CR014</x:v>
      </x:c>
      <x:c r="B17" t="str">
        <x:v>Burger Barn</x:v>
      </x:c>
      <x:c r="C17" t="str">
        <x:v>West</x:v>
      </x:c>
      <x:c r="D17" t="str">
        <x:v>Dine-in</x:v>
      </x:c>
      <x:c r="E17" t="n">
        <x:v>3.8</x:v>
      </x:c>
    </x:row>
    <x:row r="18">
      <x:c r="A18" t="str">
        <x:v>CR015</x:v>
      </x:c>
      <x:c r="B18" t="str">
        <x:v>Chaat Chowk</x:v>
      </x:c>
      <x:c r="C18" t="str">
        <x:v>Central</x:v>
      </x:c>
      <x:c r="D18" t="str">
        <x:v>QSR</x:v>
      </x:c>
      <x:c r="E18" t="n">
        <x:v>3.8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8243e90a2146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14" hidden="0" customWidth="1"/>
    <x:col min="9" max="9" width="14" hidden="0" customWidth="1"/>
    <x:col min="10" max="10" width="22" hidden="0" customWidth="1"/>
    <x:col min="11" max="11" width="20" hidden="0" customWidth="1"/>
    <x:col min="12" max="12" width="16" hidden="0" customWidth="1"/>
  </x:cols>
  <x:sheetData>
    <x:row r="1">
      <x:c r="A1" s="5" t="str">
        <x:v>Capstone — tblOrders with Lookup Enrichment &amp; KPI Source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OrderID</x:v>
      </x:c>
      <x:c r="B3" s="14" t="str">
        <x:v>RestaurantID</x:v>
      </x:c>
      <x:c r="C3" s="14" t="str">
        <x:v>Cuisine</x:v>
      </x:c>
      <x:c r="D3" s="14" t="str">
        <x:v>Zone</x:v>
      </x:c>
      <x:c r="E3" s="14" t="str">
        <x:v>OrderDate</x:v>
      </x:c>
      <x:c r="F3" s="14" t="str">
        <x:v>DeliveryTime</x:v>
      </x:c>
      <x:c r="G3" s="14" t="str">
        <x:v>Rating</x:v>
      </x:c>
      <x:c r="H3" s="14" t="str">
        <x:v>Revenue</x:v>
      </x:c>
      <x:c r="I3" s="14" t="str">
        <x:v>Status</x:v>
      </x:c>
      <x:c r="J3" s="14" t="str">
        <x:v>RestaurantName</x:v>
      </x:c>
      <x:c r="K3" s="14" t="str">
        <x:v>Category</x:v>
      </x:c>
      <x:c r="L3" s="14" t="str">
        <x:v>Outlier / Note</x:v>
      </x:c>
    </x:row>
    <x:row r="4">
      <x:c r="A4" s="24" t="str">
        <x:v>CAP-0001</x:v>
      </x:c>
      <x:c r="B4" s="24" t="str">
        <x:v>CR005</x:v>
      </x:c>
      <x:c r="C4" s="24" t="str">
        <x:v>Chinese</x:v>
      </x:c>
      <x:c r="D4" s="24" t="str">
        <x:v>Central</x:v>
      </x:c>
      <x:c r="E4" s="20" t="n">
        <x:v>46164</x:v>
      </x:c>
      <x:c r="F4" s="24" t="n">
        <x:v>25</x:v>
      </x:c>
      <x:c r="G4" s="24" t="n">
        <x:v>4.6</x:v>
      </x:c>
      <x:c r="H4" s="22" t="n">
        <x:v>551.72</x:v>
      </x:c>
      <x:c r="I4" s="24" t="str">
        <x:v>Delivered</x:v>
      </x:c>
      <x:c r="J4" s="24" t="str">
        <x:f>XLOOKUP(B4,Restaurants!$A$4:$A$18,Restaurants!$B$4:$B$18,"Unknown")</x:f>
        <x:v>Biryani Bay</x:v>
      </x:c>
      <x:c r="K4" s="24" t="str">
        <x:f>XLOOKUP(B4,Restaurants!$A$4:$A$18,Restaurants!$D$4:$D$18,"Unknown")</x:f>
        <x:v>Dine-in</x:v>
      </x:c>
      <x:c r="L4" s="24" t="str">
        <x:f>IF(AND(I4="Delivered",F4&lt;=40),"On-Time",IF(I4="Cancelled","Cancelled","Review"))</x:f>
        <x:v>On-Time</x:v>
      </x:c>
    </x:row>
    <x:row r="5">
      <x:c r="A5" s="24" t="str">
        <x:v>CAP-0002</x:v>
      </x:c>
      <x:c r="B5" s="24" t="str">
        <x:v>CR009</x:v>
      </x:c>
      <x:c r="C5" s="24" t="str">
        <x:v>Chinese</x:v>
      </x:c>
      <x:c r="D5" s="24" t="str">
        <x:v>West</x:v>
      </x:c>
      <x:c r="E5" s="20" t="n">
        <x:v>46122</x:v>
      </x:c>
      <x:c r="F5" s="24" t="n">
        <x:v>23</x:v>
      </x:c>
      <x:c r="G5" s="24" t="n">
        <x:v>4.4</x:v>
      </x:c>
      <x:c r="H5" s="22" t="n">
        <x:v>1529.23</x:v>
      </x:c>
      <x:c r="I5" s="24" t="str">
        <x:v>Delivered</x:v>
      </x:c>
      <x:c r="J5" s="24" t="str">
        <x:f>XLOOKUP(B5,Restaurants!$A$4:$A$18,Restaurants!$B$4:$B$18,"Unknown")</x:f>
        <x:v>Noodle Nest</x:v>
      </x:c>
      <x:c r="K5" s="24" t="str">
        <x:f>XLOOKUP(B5,Restaurants!$A$4:$A$18,Restaurants!$D$4:$D$18,"Unknown")</x:f>
        <x:v>QSR</x:v>
      </x:c>
      <x:c r="L5" s="24" t="str">
        <x:f>IF(AND(I5="Delivered",F5&lt;=40),"On-Time",IF(I5="Cancelled","Cancelled","Review"))</x:f>
        <x:v>On-Time</x:v>
      </x:c>
    </x:row>
    <x:row r="6">
      <x:c r="A6" s="24" t="str">
        <x:v>CAP-0003</x:v>
      </x:c>
      <x:c r="B6" s="24" t="str">
        <x:v>CR010</x:v>
      </x:c>
      <x:c r="C6" s="24" t="str">
        <x:v>North Indian</x:v>
      </x:c>
      <x:c r="D6" s="24" t="str">
        <x:v>Central</x:v>
      </x:c>
      <x:c r="E6" s="20" t="n">
        <x:v>46129</x:v>
      </x:c>
      <x:c r="F6" s="24" t="n">
        <x:v>38</x:v>
      </x:c>
      <x:c r="G6" s="24" t="n">
        <x:v>4.1</x:v>
      </x:c>
      <x:c r="H6" s="22" t="n">
        <x:v>775.58</x:v>
      </x:c>
      <x:c r="I6" s="24" t="str">
        <x:v>Delayed</x:v>
      </x:c>
      <x:c r="J6" s="24" t="str">
        <x:f>XLOOKUP(B6,Restaurants!$A$4:$A$18,Restaurants!$B$4:$B$18,"Unknown")</x:f>
        <x:v>Pizza Point</x:v>
      </x:c>
      <x:c r="K6" s="24" t="str">
        <x:f>XLOOKUP(B6,Restaurants!$A$4:$A$18,Restaurants!$D$4:$D$18,"Unknown")</x:f>
        <x:v>Cloud Kitchen</x:v>
      </x:c>
      <x:c r="L6" s="24" t="str">
        <x:f>IF(AND(I6="Delivered",F6&lt;=40),"On-Time",IF(I6="Cancelled","Cancelled","Review"))</x:f>
        <x:v>Review</x:v>
      </x:c>
    </x:row>
    <x:row r="7">
      <x:c r="A7" s="24" t="str">
        <x:v>CAP-0004</x:v>
      </x:c>
      <x:c r="B7" s="24" t="str">
        <x:v>CR006</x:v>
      </x:c>
      <x:c r="C7" s="24" t="str">
        <x:v>South Indian</x:v>
      </x:c>
      <x:c r="D7" s="24" t="str">
        <x:v>North</x:v>
      </x:c>
      <x:c r="E7" s="20" t="n">
        <x:v>46138</x:v>
      </x:c>
      <x:c r="F7" s="24" t="n">
        <x:v>35</x:v>
      </x:c>
      <x:c r="G7" s="24" t="n">
        <x:v>4.3</x:v>
      </x:c>
      <x:c r="H7" s="22" t="n">
        <x:v>310.32</x:v>
      </x:c>
      <x:c r="I7" s="24" t="str">
        <x:v>Delivered</x:v>
      </x:c>
      <x:c r="J7" s="24" t="str">
        <x:f>XLOOKUP(B7,Restaurants!$A$4:$A$18,Restaurants!$B$4:$B$18,"Unknown")</x:f>
        <x:v>Tandoor Town</x:v>
      </x:c>
      <x:c r="K7" s="24" t="str">
        <x:f>XLOOKUP(B7,Restaurants!$A$4:$A$18,Restaurants!$D$4:$D$18,"Unknown")</x:f>
        <x:v>QSR</x:v>
      </x:c>
      <x:c r="L7" s="24" t="str">
        <x:f>IF(AND(I7="Delivered",F7&lt;=40),"On-Time",IF(I7="Cancelled","Cancelled","Review"))</x:f>
        <x:v>On-Time</x:v>
      </x:c>
    </x:row>
    <x:row r="8">
      <x:c r="A8" s="24" t="str">
        <x:v>CAP-0005</x:v>
      </x:c>
      <x:c r="B8" s="24" t="str">
        <x:v>CR012</x:v>
      </x:c>
      <x:c r="C8" s="24" t="str">
        <x:v>Chinese</x:v>
      </x:c>
      <x:c r="D8" s="24" t="str">
        <x:v>South</x:v>
      </x:c>
      <x:c r="E8" s="20" t="n">
        <x:v>46173</x:v>
      </x:c>
      <x:c r="F8" s="24" t="n">
        <x:v>53</x:v>
      </x:c>
      <x:c r="G8" s="24" t="n">
        <x:v>5</x:v>
      </x:c>
      <x:c r="H8" s="22" t="n">
        <x:v>466.66</x:v>
      </x:c>
      <x:c r="I8" s="24" t="str">
        <x:v>Delivered</x:v>
      </x:c>
      <x:c r="J8" s="24" t="str">
        <x:f>XLOOKUP(B8,Restaurants!$A$4:$A$18,Restaurants!$B$4:$B$18,"Unknown")</x:f>
        <x:v>Sushi Street</x:v>
      </x:c>
      <x:c r="K8" s="24" t="str">
        <x:f>XLOOKUP(B8,Restaurants!$A$4:$A$18,Restaurants!$D$4:$D$18,"Unknown")</x:f>
        <x:v>QSR</x:v>
      </x:c>
      <x:c r="L8" s="24" t="str">
        <x:f>IF(AND(I8="Delivered",F8&lt;=40),"On-Time",IF(I8="Cancelled","Cancelled","Review"))</x:f>
        <x:v>Review</x:v>
      </x:c>
    </x:row>
    <x:row r="9">
      <x:c r="A9" s="24" t="str">
        <x:v>CAP-0006</x:v>
      </x:c>
      <x:c r="B9" s="24" t="str">
        <x:v>CR015</x:v>
      </x:c>
      <x:c r="C9" s="24" t="str">
        <x:v>Chinese</x:v>
      </x:c>
      <x:c r="D9" s="24" t="str">
        <x:v>Central</x:v>
      </x:c>
      <x:c r="E9" s="20" t="n">
        <x:v>46133</x:v>
      </x:c>
      <x:c r="F9" s="24" t="n">
        <x:v>20</x:v>
      </x:c>
      <x:c r="G9" s="24" t="n">
        <x:v>3.5</x:v>
      </x:c>
      <x:c r="H9" s="22" t="n">
        <x:v>1170.27</x:v>
      </x:c>
      <x:c r="I9" s="24" t="str">
        <x:v>Delivered</x:v>
      </x:c>
      <x:c r="J9" s="24" t="str">
        <x:f>XLOOKUP(B9,Restaurants!$A$4:$A$18,Restaurants!$B$4:$B$18,"Unknown")</x:f>
        <x:v>Chaat Chowk</x:v>
      </x:c>
      <x:c r="K9" s="24" t="str">
        <x:f>XLOOKUP(B9,Restaurants!$A$4:$A$18,Restaurants!$D$4:$D$18,"Unknown")</x:f>
        <x:v>QSR</x:v>
      </x:c>
      <x:c r="L9" s="24" t="str">
        <x:f>IF(AND(I9="Delivered",F9&lt;=40),"On-Time",IF(I9="Cancelled","Cancelled","Review"))</x:f>
        <x:v>On-Time</x:v>
      </x:c>
    </x:row>
    <x:row r="10">
      <x:c r="A10" s="24" t="str">
        <x:v>CAP-0007</x:v>
      </x:c>
      <x:c r="B10" s="24" t="str">
        <x:v>CR009</x:v>
      </x:c>
      <x:c r="C10" s="24" t="str">
        <x:v>Italian</x:v>
      </x:c>
      <x:c r="D10" s="24" t="str">
        <x:v>West</x:v>
      </x:c>
      <x:c r="E10" s="20" t="n">
        <x:v>46185</x:v>
      </x:c>
      <x:c r="F10" s="24" t="n">
        <x:v>42</x:v>
      </x:c>
      <x:c r="G10" s="24" t="n">
        <x:v>3.7</x:v>
      </x:c>
      <x:c r="H10" s="22" t="n">
        <x:v>1294.4</x:v>
      </x:c>
      <x:c r="I10" s="24" t="str">
        <x:v>Delivered</x:v>
      </x:c>
      <x:c r="J10" s="24" t="str">
        <x:f>XLOOKUP(B10,Restaurants!$A$4:$A$18,Restaurants!$B$4:$B$18,"Unknown")</x:f>
        <x:v>Noodle Nest</x:v>
      </x:c>
      <x:c r="K10" s="24" t="str">
        <x:f>XLOOKUP(B10,Restaurants!$A$4:$A$18,Restaurants!$D$4:$D$18,"Unknown")</x:f>
        <x:v>QSR</x:v>
      </x:c>
      <x:c r="L10" s="24" t="str">
        <x:f>IF(AND(I10="Delivered",F10&lt;=40),"On-Time",IF(I10="Cancelled","Cancelled","Review"))</x:f>
        <x:v>Review</x:v>
      </x:c>
    </x:row>
    <x:row r="11">
      <x:c r="A11" s="24" t="str">
        <x:v>CAP-0008</x:v>
      </x:c>
      <x:c r="B11" s="24" t="str">
        <x:v>CR007</x:v>
      </x:c>
      <x:c r="C11" s="24" t="str">
        <x:v>Chinese</x:v>
      </x:c>
      <x:c r="D11" s="24" t="str">
        <x:v>South</x:v>
      </x:c>
      <x:c r="E11" s="20" t="n">
        <x:v>46201</x:v>
      </x:c>
      <x:c r="F11" s="24" t="n">
        <x:v>30</x:v>
      </x:c>
      <x:c r="G11" s="24" t="n">
        <x:v>4</x:v>
      </x:c>
      <x:c r="H11" s="22" t="n">
        <x:v>1266.17</x:v>
      </x:c>
      <x:c r="I11" s="24" t="str">
        <x:v>Delivered</x:v>
      </x:c>
      <x:c r="J11" s="24" t="str">
        <x:f>XLOOKUP(B11,Restaurants!$A$4:$A$18,Restaurants!$B$4:$B$18,"Unknown")</x:f>
        <x:v>Curry Corner</x:v>
      </x:c>
      <x:c r="K11" s="24" t="str">
        <x:f>XLOOKUP(B11,Restaurants!$A$4:$A$18,Restaurants!$D$4:$D$18,"Unknown")</x:f>
        <x:v>Cloud Kitchen</x:v>
      </x:c>
      <x:c r="L11" s="24" t="str">
        <x:f>IF(AND(I11="Delivered",F11&lt;=40),"On-Time",IF(I11="Cancelled","Cancelled","Review"))</x:f>
        <x:v>On-Time</x:v>
      </x:c>
    </x:row>
    <x:row r="12">
      <x:c r="A12" s="24" t="str">
        <x:v>CAP-0009</x:v>
      </x:c>
      <x:c r="B12" s="24" t="str">
        <x:v>CR013</x:v>
      </x:c>
      <x:c r="C12" s="24" t="str">
        <x:v>South Indian</x:v>
      </x:c>
      <x:c r="D12" s="24" t="str">
        <x:v>East</x:v>
      </x:c>
      <x:c r="E12" s="20" t="n">
        <x:v>46119</x:v>
      </x:c>
      <x:c r="F12" s="24" t="n">
        <x:v>46</x:v>
      </x:c>
      <x:c r="G12" s="24" t="n">
        <x:v>4.9</x:v>
      </x:c>
      <x:c r="H12" s="22" t="n">
        <x:v>1210.59</x:v>
      </x:c>
      <x:c r="I12" s="24" t="str">
        <x:v>Delivered</x:v>
      </x:c>
      <x:c r="J12" s="24" t="str">
        <x:f>XLOOKUP(B12,Restaurants!$A$4:$A$18,Restaurants!$B$4:$B$18,"Unknown")</x:f>
        <x:v>Thali Trails</x:v>
      </x:c>
      <x:c r="K12" s="24" t="str">
        <x:f>XLOOKUP(B12,Restaurants!$A$4:$A$18,Restaurants!$D$4:$D$18,"Unknown")</x:f>
        <x:v>Cloud Kitchen</x:v>
      </x:c>
      <x:c r="L12" s="24" t="str">
        <x:f>IF(AND(I12="Delivered",F12&lt;=40),"On-Time",IF(I12="Cancelled","Cancelled","Review"))</x:f>
        <x:v>Review</x:v>
      </x:c>
    </x:row>
    <x:row r="13">
      <x:c r="A13" s="24" t="str">
        <x:v>CAP-0010</x:v>
      </x:c>
      <x:c r="B13" s="24" t="str">
        <x:v>CR014</x:v>
      </x:c>
      <x:c r="C13" s="24" t="str">
        <x:v>Italian</x:v>
      </x:c>
      <x:c r="D13" s="24" t="str">
        <x:v>West</x:v>
      </x:c>
      <x:c r="E13" s="20" t="n">
        <x:v>46131</x:v>
      </x:c>
      <x:c r="F13" s="24" t="n">
        <x:v>55</x:v>
      </x:c>
      <x:c r="G13" s="24" t="n">
        <x:v>4.2</x:v>
      </x:c>
      <x:c r="H13" s="22" t="n">
        <x:v>1335.81</x:v>
      </x:c>
      <x:c r="I13" s="24" t="str">
        <x:v>Cancelled</x:v>
      </x:c>
      <x:c r="J13" s="24" t="str">
        <x:f>XLOOKUP(B13,Restaurants!$A$4:$A$18,Restaurants!$B$4:$B$18,"Unknown")</x:f>
        <x:v>Burger Barn</x:v>
      </x:c>
      <x:c r="K13" s="24" t="str">
        <x:f>XLOOKUP(B13,Restaurants!$A$4:$A$18,Restaurants!$D$4:$D$18,"Unknown")</x:f>
        <x:v>Dine-in</x:v>
      </x:c>
      <x:c r="L13" s="24" t="str">
        <x:f>IF(AND(I13="Delivered",F13&lt;=40),"On-Time",IF(I13="Cancelled","Cancelled","Review"))</x:f>
        <x:v>Cancelled</x:v>
      </x:c>
    </x:row>
    <x:row r="14">
      <x:c r="A14" s="24" t="str">
        <x:v>CAP-0011</x:v>
      </x:c>
      <x:c r="B14" s="24" t="str">
        <x:v>CR004</x:v>
      </x:c>
      <x:c r="C14" s="24" t="str">
        <x:v>North Indian</x:v>
      </x:c>
      <x:c r="D14" s="24" t="str">
        <x:v>West</x:v>
      </x:c>
      <x:c r="E14" s="20" t="n">
        <x:v>46169</x:v>
      </x:c>
      <x:c r="F14" s="24" t="n">
        <x:v>48</x:v>
      </x:c>
      <x:c r="G14" s="24" t="n">
        <x:v>4.9</x:v>
      </x:c>
      <x:c r="H14" s="22" t="n">
        <x:v>886.08</x:v>
      </x:c>
      <x:c r="I14" s="24" t="str">
        <x:v>Delivered</x:v>
      </x:c>
      <x:c r="J14" s="24" t="str">
        <x:f>XLOOKUP(B14,Restaurants!$A$4:$A$18,Restaurants!$B$4:$B$18,"Unknown")</x:f>
        <x:v>Pasta Plaza</x:v>
      </x:c>
      <x:c r="K14" s="24" t="str">
        <x:f>XLOOKUP(B14,Restaurants!$A$4:$A$18,Restaurants!$D$4:$D$18,"Unknown")</x:f>
        <x:v>Cloud Kitchen</x:v>
      </x:c>
      <x:c r="L14" s="24" t="str">
        <x:f>IF(AND(I14="Delivered",F14&lt;=40),"On-Time",IF(I14="Cancelled","Cancelled","Review"))</x:f>
        <x:v>Review</x:v>
      </x:c>
    </x:row>
    <x:row r="15">
      <x:c r="A15" s="24" t="str">
        <x:v>CAP-0012</x:v>
      </x:c>
      <x:c r="B15" s="24" t="str">
        <x:v>CR013</x:v>
      </x:c>
      <x:c r="C15" s="24" t="str">
        <x:v>Italian</x:v>
      </x:c>
      <x:c r="D15" s="24" t="str">
        <x:v>East</x:v>
      </x:c>
      <x:c r="E15" s="20" t="n">
        <x:v>46120</x:v>
      </x:c>
      <x:c r="F15" s="24" t="n">
        <x:v>22</x:v>
      </x:c>
      <x:c r="G15" s="24" t="n">
        <x:v>4.1</x:v>
      </x:c>
      <x:c r="H15" s="22" t="n">
        <x:v>1797.09</x:v>
      </x:c>
      <x:c r="I15" s="24" t="str">
        <x:v>Delivered</x:v>
      </x:c>
      <x:c r="J15" s="24" t="str">
        <x:f>XLOOKUP(B15,Restaurants!$A$4:$A$18,Restaurants!$B$4:$B$18,"Unknown")</x:f>
        <x:v>Thali Trails</x:v>
      </x:c>
      <x:c r="K15" s="24" t="str">
        <x:f>XLOOKUP(B15,Restaurants!$A$4:$A$18,Restaurants!$D$4:$D$18,"Unknown")</x:f>
        <x:v>Cloud Kitchen</x:v>
      </x:c>
      <x:c r="L15" s="24" t="str">
        <x:f>IF(AND(I15="Delivered",F15&lt;=40),"On-Time",IF(I15="Cancelled","Cancelled","Review"))</x:f>
        <x:v>On-Time</x:v>
      </x:c>
    </x:row>
    <x:row r="16">
      <x:c r="A16" s="24" t="str">
        <x:v>CAP-0013</x:v>
      </x:c>
      <x:c r="B16" s="24" t="str">
        <x:v>CR008</x:v>
      </x:c>
      <x:c r="C16" s="24" t="str">
        <x:v>Italian</x:v>
      </x:c>
      <x:c r="D16" s="24" t="str">
        <x:v>East</x:v>
      </x:c>
      <x:c r="E16" s="20" t="n">
        <x:v>46153</x:v>
      </x:c>
      <x:c r="F16" s="24" t="n">
        <x:v>40</x:v>
      </x:c>
      <x:c r="G16" s="24" t="n">
        <x:v>3.7</x:v>
      </x:c>
      <x:c r="H16" s="22" t="n">
        <x:v>1096.72</x:v>
      </x:c>
      <x:c r="I16" s="24" t="str">
        <x:v>Delayed</x:v>
      </x:c>
      <x:c r="J16" s="24" t="str">
        <x:f>XLOOKUP(B16,Restaurants!$A$4:$A$18,Restaurants!$B$4:$B$18,"Unknown")</x:f>
        <x:v>Idli House</x:v>
      </x:c>
      <x:c r="K16" s="24" t="str">
        <x:f>XLOOKUP(B16,Restaurants!$A$4:$A$18,Restaurants!$D$4:$D$18,"Unknown")</x:f>
        <x:v>Dine-in</x:v>
      </x:c>
      <x:c r="L16" s="24" t="str">
        <x:f>IF(AND(I16="Delivered",F16&lt;=40),"On-Time",IF(I16="Cancelled","Cancelled","Review"))</x:f>
        <x:v>Review</x:v>
      </x:c>
    </x:row>
    <x:row r="17">
      <x:c r="A17" s="24" t="str">
        <x:v>CAP-0014</x:v>
      </x:c>
      <x:c r="B17" s="24" t="str">
        <x:v>CR011</x:v>
      </x:c>
      <x:c r="C17" s="24" t="str">
        <x:v>Chinese</x:v>
      </x:c>
      <x:c r="D17" s="24" t="str">
        <x:v>North</x:v>
      </x:c>
      <x:c r="E17" s="20" t="n">
        <x:v>46191</x:v>
      </x:c>
      <x:c r="F17" s="24" t="n">
        <x:v>47</x:v>
      </x:c>
      <x:c r="G17" s="24" t="n">
        <x:v>4.1</x:v>
      </x:c>
      <x:c r="H17" s="22" t="n">
        <x:v>712.67</x:v>
      </x:c>
      <x:c r="I17" s="24" t="str">
        <x:v>Delivered</x:v>
      </x:c>
      <x:c r="J17" s="24" t="str">
        <x:f>XLOOKUP(B17,Restaurants!$A$4:$A$18,Restaurants!$B$4:$B$18,"Unknown")</x:f>
        <x:v>Kebab Kingdom</x:v>
      </x:c>
      <x:c r="K17" s="24" t="str">
        <x:f>XLOOKUP(B17,Restaurants!$A$4:$A$18,Restaurants!$D$4:$D$18,"Unknown")</x:f>
        <x:v>Dine-in</x:v>
      </x:c>
      <x:c r="L17" s="24" t="str">
        <x:f>IF(AND(I17="Delivered",F17&lt;=40),"On-Time",IF(I17="Cancelled","Cancelled","Review"))</x:f>
        <x:v>Review</x:v>
      </x:c>
    </x:row>
    <x:row r="18">
      <x:c r="A18" s="24" t="str">
        <x:v>CAP-0015</x:v>
      </x:c>
      <x:c r="B18" s="24" t="str">
        <x:v>CR005</x:v>
      </x:c>
      <x:c r="C18" s="24" t="str">
        <x:v>Chinese</x:v>
      </x:c>
      <x:c r="D18" s="24" t="str">
        <x:v>Central</x:v>
      </x:c>
      <x:c r="E18" s="20" t="n">
        <x:v>46139</x:v>
      </x:c>
      <x:c r="F18" s="24" t="n">
        <x:v>24</x:v>
      </x:c>
      <x:c r="G18" s="24" t="n">
        <x:v>4.2</x:v>
      </x:c>
      <x:c r="H18" s="22" t="n">
        <x:v>1118.76</x:v>
      </x:c>
      <x:c r="I18" s="24" t="str">
        <x:v>Delivered</x:v>
      </x:c>
      <x:c r="J18" s="24" t="str">
        <x:f>XLOOKUP(B18,Restaurants!$A$4:$A$18,Restaurants!$B$4:$B$18,"Unknown")</x:f>
        <x:v>Biryani Bay</x:v>
      </x:c>
      <x:c r="K18" s="24" t="str">
        <x:f>XLOOKUP(B18,Restaurants!$A$4:$A$18,Restaurants!$D$4:$D$18,"Unknown")</x:f>
        <x:v>Dine-in</x:v>
      </x:c>
      <x:c r="L18" s="24" t="str">
        <x:f>IF(AND(I18="Delivered",F18&lt;=40),"On-Time",IF(I18="Cancelled","Cancelled","Review"))</x:f>
        <x:v>On-Time</x:v>
      </x:c>
    </x:row>
    <x:row r="19">
      <x:c r="A19" s="24" t="str">
        <x:v>CAP-0016</x:v>
      </x:c>
      <x:c r="B19" s="24" t="str">
        <x:v>CR015</x:v>
      </x:c>
      <x:c r="C19" s="24" t="str">
        <x:v>Chinese</x:v>
      </x:c>
      <x:c r="D19" s="24" t="str">
        <x:v>Central</x:v>
      </x:c>
      <x:c r="E19" s="20" t="n">
        <x:v>46149</x:v>
      </x:c>
      <x:c r="F19" s="24" t="n">
        <x:v>32</x:v>
      </x:c>
      <x:c r="G19" s="24" t="n">
        <x:v>3.7</x:v>
      </x:c>
      <x:c r="H19" s="22" t="n">
        <x:v>1769.25</x:v>
      </x:c>
      <x:c r="I19" s="24" t="str">
        <x:v>Delivered</x:v>
      </x:c>
      <x:c r="J19" s="24" t="str">
        <x:f>XLOOKUP(B19,Restaurants!$A$4:$A$18,Restaurants!$B$4:$B$18,"Unknown")</x:f>
        <x:v>Chaat Chowk</x:v>
      </x:c>
      <x:c r="K19" s="24" t="str">
        <x:f>XLOOKUP(B19,Restaurants!$A$4:$A$18,Restaurants!$D$4:$D$18,"Unknown")</x:f>
        <x:v>QSR</x:v>
      </x:c>
      <x:c r="L19" s="24" t="str">
        <x:f>IF(AND(I19="Delivered",F19&lt;=40),"On-Time",IF(I19="Cancelled","Cancelled","Review"))</x:f>
        <x:v>On-Time</x:v>
      </x:c>
    </x:row>
    <x:row r="20">
      <x:c r="A20" s="24" t="str">
        <x:v>CAP-0017</x:v>
      </x:c>
      <x:c r="B20" s="24" t="str">
        <x:v>CR014</x:v>
      </x:c>
      <x:c r="C20" s="24" t="str">
        <x:v>Chinese</x:v>
      </x:c>
      <x:c r="D20" s="24" t="str">
        <x:v>West</x:v>
      </x:c>
      <x:c r="E20" s="20" t="n">
        <x:v>46131</x:v>
      </x:c>
      <x:c r="F20" s="24" t="n">
        <x:v>33</x:v>
      </x:c>
      <x:c r="G20" s="24" t="n">
        <x:v>5</x:v>
      </x:c>
      <x:c r="H20" s="22" t="n">
        <x:v>786.86</x:v>
      </x:c>
      <x:c r="I20" s="24" t="str">
        <x:v>Delivered</x:v>
      </x:c>
      <x:c r="J20" s="24" t="str">
        <x:f>XLOOKUP(B20,Restaurants!$A$4:$A$18,Restaurants!$B$4:$B$18,"Unknown")</x:f>
        <x:v>Burger Barn</x:v>
      </x:c>
      <x:c r="K20" s="24" t="str">
        <x:f>XLOOKUP(B20,Restaurants!$A$4:$A$18,Restaurants!$D$4:$D$18,"Unknown")</x:f>
        <x:v>Dine-in</x:v>
      </x:c>
      <x:c r="L20" s="24" t="str">
        <x:f>IF(AND(I20="Delivered",F20&lt;=40),"On-Time",IF(I20="Cancelled","Cancelled","Review"))</x:f>
        <x:v>On-Time</x:v>
      </x:c>
    </x:row>
    <x:row r="21">
      <x:c r="A21" s="24" t="str">
        <x:v>CAP-0018</x:v>
      </x:c>
      <x:c r="B21" s="24" t="str">
        <x:v>CR008</x:v>
      </x:c>
      <x:c r="C21" s="24" t="str">
        <x:v>Chinese</x:v>
      </x:c>
      <x:c r="D21" s="24" t="str">
        <x:v>East</x:v>
      </x:c>
      <x:c r="E21" s="20" t="n">
        <x:v>46174</x:v>
      </x:c>
      <x:c r="F21" s="24" t="n">
        <x:v>42</x:v>
      </x:c>
      <x:c r="G21" s="24" t="n">
        <x:v>3.8</x:v>
      </x:c>
      <x:c r="H21" s="22" t="n">
        <x:v>1121.13</x:v>
      </x:c>
      <x:c r="I21" s="24" t="str">
        <x:v>Delivered</x:v>
      </x:c>
      <x:c r="J21" s="24" t="str">
        <x:f>XLOOKUP(B21,Restaurants!$A$4:$A$18,Restaurants!$B$4:$B$18,"Unknown")</x:f>
        <x:v>Idli House</x:v>
      </x:c>
      <x:c r="K21" s="24" t="str">
        <x:f>XLOOKUP(B21,Restaurants!$A$4:$A$18,Restaurants!$D$4:$D$18,"Unknown")</x:f>
        <x:v>Dine-in</x:v>
      </x:c>
      <x:c r="L21" s="24" t="str">
        <x:f>IF(AND(I21="Delivered",F21&lt;=40),"On-Time",IF(I21="Cancelled","Cancelled","Review"))</x:f>
        <x:v>Review</x:v>
      </x:c>
    </x:row>
    <x:row r="22">
      <x:c r="A22" s="24" t="str">
        <x:v>CAP-0019</x:v>
      </x:c>
      <x:c r="B22" s="24" t="str">
        <x:v>CR005</x:v>
      </x:c>
      <x:c r="C22" s="24" t="str">
        <x:v>South Indian</x:v>
      </x:c>
      <x:c r="D22" s="24" t="str">
        <x:v>Central</x:v>
      </x:c>
      <x:c r="E22" s="20" t="n">
        <x:v>46126</x:v>
      </x:c>
      <x:c r="F22" s="24" t="n">
        <x:v>30</x:v>
      </x:c>
      <x:c r="G22" s="24" t="n">
        <x:v>4</x:v>
      </x:c>
      <x:c r="H22" s="22" t="n">
        <x:v>1288.24</x:v>
      </x:c>
      <x:c r="I22" s="24" t="str">
        <x:v>Delivered</x:v>
      </x:c>
      <x:c r="J22" s="24" t="str">
        <x:f>XLOOKUP(B22,Restaurants!$A$4:$A$18,Restaurants!$B$4:$B$18,"Unknown")</x:f>
        <x:v>Biryani Bay</x:v>
      </x:c>
      <x:c r="K22" s="24" t="str">
        <x:f>XLOOKUP(B22,Restaurants!$A$4:$A$18,Restaurants!$D$4:$D$18,"Unknown")</x:f>
        <x:v>Dine-in</x:v>
      </x:c>
      <x:c r="L22" s="24" t="str">
        <x:f>IF(AND(I22="Delivered",F22&lt;=40),"On-Time",IF(I22="Cancelled","Cancelled","Review"))</x:f>
        <x:v>On-Time</x:v>
      </x:c>
    </x:row>
    <x:row r="23">
      <x:c r="A23" s="24" t="str">
        <x:v>CAP-0020</x:v>
      </x:c>
      <x:c r="B23" s="24" t="str">
        <x:v>CR009</x:v>
      </x:c>
      <x:c r="C23" s="24" t="str">
        <x:v>South Indian</x:v>
      </x:c>
      <x:c r="D23" s="24" t="str">
        <x:v>West</x:v>
      </x:c>
      <x:c r="E23" s="20" t="n">
        <x:v>46194</x:v>
      </x:c>
      <x:c r="F23" s="24" t="n">
        <x:v>46</x:v>
      </x:c>
      <x:c r="G23" s="24" t="n">
        <x:v>4.5</x:v>
      </x:c>
      <x:c r="H23" s="22" t="n">
        <x:v>982.23</x:v>
      </x:c>
      <x:c r="I23" s="24" t="str">
        <x:v>Delivered</x:v>
      </x:c>
      <x:c r="J23" s="24" t="str">
        <x:f>XLOOKUP(B23,Restaurants!$A$4:$A$18,Restaurants!$B$4:$B$18,"Unknown")</x:f>
        <x:v>Noodle Nest</x:v>
      </x:c>
      <x:c r="K23" s="24" t="str">
        <x:f>XLOOKUP(B23,Restaurants!$A$4:$A$18,Restaurants!$D$4:$D$18,"Unknown")</x:f>
        <x:v>QSR</x:v>
      </x:c>
      <x:c r="L23" s="24" t="str">
        <x:f>IF(AND(I23="Delivered",F23&lt;=40),"On-Time",IF(I23="Cancelled","Cancelled","Review"))</x:f>
        <x:v>Review</x:v>
      </x:c>
    </x:row>
    <x:row r="24">
      <x:c r="A24" s="24" t="str">
        <x:v>CAP-0021</x:v>
      </x:c>
      <x:c r="B24" s="24" t="str">
        <x:v>CR011</x:v>
      </x:c>
      <x:c r="C24" s="24" t="str">
        <x:v>South Indian</x:v>
      </x:c>
      <x:c r="D24" s="24" t="str">
        <x:v>North</x:v>
      </x:c>
      <x:c r="E24" s="20" t="n">
        <x:v>46113</x:v>
      </x:c>
      <x:c r="F24" s="24" t="n">
        <x:v>61</x:v>
      </x:c>
      <x:c r="G24" s="24" t="n">
        <x:v>3.5</x:v>
      </x:c>
      <x:c r="H24" s="22" t="n">
        <x:v>1261.98</x:v>
      </x:c>
      <x:c r="I24" s="24" t="str">
        <x:v>Delayed</x:v>
      </x:c>
      <x:c r="J24" s="24" t="str">
        <x:f>XLOOKUP(B24,Restaurants!$A$4:$A$18,Restaurants!$B$4:$B$18,"Unknown")</x:f>
        <x:v>Kebab Kingdom</x:v>
      </x:c>
      <x:c r="K24" s="24" t="str">
        <x:f>XLOOKUP(B24,Restaurants!$A$4:$A$18,Restaurants!$D$4:$D$18,"Unknown")</x:f>
        <x:v>Dine-in</x:v>
      </x:c>
      <x:c r="L24" s="24" t="str">
        <x:f>IF(AND(I24="Delivered",F24&lt;=40),"On-Time",IF(I24="Cancelled","Cancelled","Review"))</x:f>
        <x:v>Review</x:v>
      </x:c>
    </x:row>
    <x:row r="25">
      <x:c r="A25" s="24" t="str">
        <x:v>CAP-0022</x:v>
      </x:c>
      <x:c r="B25" s="24" t="str">
        <x:v>CR015</x:v>
      </x:c>
      <x:c r="C25" s="24" t="str">
        <x:v>Italian</x:v>
      </x:c>
      <x:c r="D25" s="24" t="str">
        <x:v>Central</x:v>
      </x:c>
      <x:c r="E25" s="20" t="n">
        <x:v>46174</x:v>
      </x:c>
      <x:c r="F25" s="24" t="n">
        <x:v>38</x:v>
      </x:c>
      <x:c r="G25" s="24" t="n">
        <x:v>3.7</x:v>
      </x:c>
      <x:c r="H25" s="22" t="n">
        <x:v>692.39</x:v>
      </x:c>
      <x:c r="I25" s="24" t="str">
        <x:v>Delivered</x:v>
      </x:c>
      <x:c r="J25" s="24" t="str">
        <x:f>XLOOKUP(B25,Restaurants!$A$4:$A$18,Restaurants!$B$4:$B$18,"Unknown")</x:f>
        <x:v>Chaat Chowk</x:v>
      </x:c>
      <x:c r="K25" s="24" t="str">
        <x:f>XLOOKUP(B25,Restaurants!$A$4:$A$18,Restaurants!$D$4:$D$18,"Unknown")</x:f>
        <x:v>QSR</x:v>
      </x:c>
      <x:c r="L25" s="24" t="str">
        <x:f>IF(AND(I25="Delivered",F25&lt;=40),"On-Time",IF(I25="Cancelled","Cancelled","Review"))</x:f>
        <x:v>On-Time</x:v>
      </x:c>
    </x:row>
    <x:row r="26">
      <x:c r="A26" s="24" t="str">
        <x:v>CAP-0023</x:v>
      </x:c>
      <x:c r="B26" s="24" t="str">
        <x:v>CR001</x:v>
      </x:c>
      <x:c r="C26" s="24" t="str">
        <x:v>North Indian</x:v>
      </x:c>
      <x:c r="D26" s="24" t="str">
        <x:v>North</x:v>
      </x:c>
      <x:c r="E26" s="20" t="n">
        <x:v>46196</x:v>
      </x:c>
      <x:c r="F26" s="24" t="n">
        <x:v>19</x:v>
      </x:c>
      <x:c r="G26" s="24" t="n">
        <x:v>4</x:v>
      </x:c>
      <x:c r="H26" s="22" t="n">
        <x:v>1701.84</x:v>
      </x:c>
      <x:c r="I26" s="24" t="str">
        <x:v>Delivered</x:v>
      </x:c>
      <x:c r="J26" s="24" t="str">
        <x:f>XLOOKUP(B26,Restaurants!$A$4:$A$18,Restaurants!$B$4:$B$18,"Unknown")</x:f>
        <x:v>Spice Route</x:v>
      </x:c>
      <x:c r="K26" s="24" t="str">
        <x:f>XLOOKUP(B26,Restaurants!$A$4:$A$18,Restaurants!$D$4:$D$18,"Unknown")</x:f>
        <x:v>Cloud Kitchen</x:v>
      </x:c>
      <x:c r="L26" s="24" t="str">
        <x:f>IF(AND(I26="Delivered",F26&lt;=40),"On-Time",IF(I26="Cancelled","Cancelled","Review"))</x:f>
        <x:v>On-Time</x:v>
      </x:c>
    </x:row>
    <x:row r="27">
      <x:c r="A27" s="24" t="str">
        <x:v>CAP-0024</x:v>
      </x:c>
      <x:c r="B27" s="24" t="str">
        <x:v>CR015</x:v>
      </x:c>
      <x:c r="C27" s="24" t="str">
        <x:v>South Indian</x:v>
      </x:c>
      <x:c r="D27" s="24" t="str">
        <x:v>Central</x:v>
      </x:c>
      <x:c r="E27" s="20" t="n">
        <x:v>46166</x:v>
      </x:c>
      <x:c r="F27" s="24" t="n">
        <x:v>67</x:v>
      </x:c>
      <x:c r="G27" s="24" t="n">
        <x:v>4.6</x:v>
      </x:c>
      <x:c r="H27" s="22" t="n">
        <x:v>1795.62</x:v>
      </x:c>
      <x:c r="I27" s="24" t="str">
        <x:v>Delayed</x:v>
      </x:c>
      <x:c r="J27" s="24" t="str">
        <x:f>XLOOKUP(B27,Restaurants!$A$4:$A$18,Restaurants!$B$4:$B$18,"Unknown")</x:f>
        <x:v>Chaat Chowk</x:v>
      </x:c>
      <x:c r="K27" s="24" t="str">
        <x:f>XLOOKUP(B27,Restaurants!$A$4:$A$18,Restaurants!$D$4:$D$18,"Unknown")</x:f>
        <x:v>QSR</x:v>
      </x:c>
      <x:c r="L27" s="24" t="str">
        <x:f>IF(AND(I27="Delivered",F27&lt;=40),"On-Time",IF(I27="Cancelled","Cancelled","Review"))</x:f>
        <x:v>Review</x:v>
      </x:c>
    </x:row>
    <x:row r="28">
      <x:c r="A28" s="24" t="str">
        <x:v>CAP-0025</x:v>
      </x:c>
      <x:c r="B28" s="24" t="str">
        <x:v>CR007</x:v>
      </x:c>
      <x:c r="C28" s="24" t="str">
        <x:v>Italian</x:v>
      </x:c>
      <x:c r="D28" s="24" t="str">
        <x:v>South</x:v>
      </x:c>
      <x:c r="E28" s="20" t="n">
        <x:v>46136</x:v>
      </x:c>
      <x:c r="F28" s="24" t="n">
        <x:v>81</x:v>
      </x:c>
      <x:c r="G28" s="24" t="n">
        <x:v>3.2</x:v>
      </x:c>
      <x:c r="H28" s="22" t="n">
        <x:v>1608.95</x:v>
      </x:c>
      <x:c r="I28" s="24" t="str">
        <x:v>Delayed</x:v>
      </x:c>
      <x:c r="J28" s="24" t="str">
        <x:f>XLOOKUP(B28,Restaurants!$A$4:$A$18,Restaurants!$B$4:$B$18,"Unknown")</x:f>
        <x:v>Curry Corner</x:v>
      </x:c>
      <x:c r="K28" s="24" t="str">
        <x:f>XLOOKUP(B28,Restaurants!$A$4:$A$18,Restaurants!$D$4:$D$18,"Unknown")</x:f>
        <x:v>Cloud Kitchen</x:v>
      </x:c>
      <x:c r="L28" s="24" t="str">
        <x:f>IF(AND(I28="Delivered",F28&lt;=40),"On-Time",IF(I28="Cancelled","Cancelled","Review"))</x:f>
        <x:v>Review</x:v>
      </x:c>
    </x:row>
    <x:row r="29">
      <x:c r="A29" s="24" t="str">
        <x:v>CAP-0026</x:v>
      </x:c>
      <x:c r="B29" s="24" t="str">
        <x:v>CR001</x:v>
      </x:c>
      <x:c r="C29" s="24" t="str">
        <x:v>Chinese</x:v>
      </x:c>
      <x:c r="D29" s="24" t="str">
        <x:v>North</x:v>
      </x:c>
      <x:c r="E29" s="20" t="n">
        <x:v>46185</x:v>
      </x:c>
      <x:c r="F29" s="24" t="n">
        <x:v>47</x:v>
      </x:c>
      <x:c r="G29" s="24" t="n">
        <x:v>4</x:v>
      </x:c>
      <x:c r="H29" s="22" t="n">
        <x:v>954.24</x:v>
      </x:c>
      <x:c r="I29" s="24" t="str">
        <x:v>Delivered</x:v>
      </x:c>
      <x:c r="J29" s="24" t="str">
        <x:f>XLOOKUP(B29,Restaurants!$A$4:$A$18,Restaurants!$B$4:$B$18,"Unknown")</x:f>
        <x:v>Spice Route</x:v>
      </x:c>
      <x:c r="K29" s="24" t="str">
        <x:f>XLOOKUP(B29,Restaurants!$A$4:$A$18,Restaurants!$D$4:$D$18,"Unknown")</x:f>
        <x:v>Cloud Kitchen</x:v>
      </x:c>
      <x:c r="L29" s="24" t="str">
        <x:f>IF(AND(I29="Delivered",F29&lt;=40),"On-Time",IF(I29="Cancelled","Cancelled","Review"))</x:f>
        <x:v>Review</x:v>
      </x:c>
    </x:row>
    <x:row r="30">
      <x:c r="A30" s="24" t="str">
        <x:v>CAP-0027</x:v>
      </x:c>
      <x:c r="B30" s="24" t="str">
        <x:v>CR011</x:v>
      </x:c>
      <x:c r="C30" s="24" t="str">
        <x:v>Italian</x:v>
      </x:c>
      <x:c r="D30" s="24" t="str">
        <x:v>North</x:v>
      </x:c>
      <x:c r="E30" s="20" t="n">
        <x:v>46130</x:v>
      </x:c>
      <x:c r="F30" s="24" t="n">
        <x:v>47</x:v>
      </x:c>
      <x:c r="G30" s="24" t="n">
        <x:v>3.6</x:v>
      </x:c>
      <x:c r="H30" s="22" t="n">
        <x:v>424.6</x:v>
      </x:c>
      <x:c r="I30" s="24" t="str">
        <x:v>Cancelled</x:v>
      </x:c>
      <x:c r="J30" s="24" t="str">
        <x:f>XLOOKUP(B30,Restaurants!$A$4:$A$18,Restaurants!$B$4:$B$18,"Unknown")</x:f>
        <x:v>Kebab Kingdom</x:v>
      </x:c>
      <x:c r="K30" s="24" t="str">
        <x:f>XLOOKUP(B30,Restaurants!$A$4:$A$18,Restaurants!$D$4:$D$18,"Unknown")</x:f>
        <x:v>Dine-in</x:v>
      </x:c>
      <x:c r="L30" s="24" t="str">
        <x:f>IF(AND(I30="Delivered",F30&lt;=40),"On-Time",IF(I30="Cancelled","Cancelled","Review"))</x:f>
        <x:v>Cancelled</x:v>
      </x:c>
    </x:row>
    <x:row r="31">
      <x:c r="A31" s="24" t="str">
        <x:v>CAP-0028</x:v>
      </x:c>
      <x:c r="B31" s="24" t="str">
        <x:v>CR003</x:v>
      </x:c>
      <x:c r="C31" s="24" t="str">
        <x:v>Italian</x:v>
      </x:c>
      <x:c r="D31" s="24" t="str">
        <x:v>East</x:v>
      </x:c>
      <x:c r="E31" s="20" t="n">
        <x:v>46195</x:v>
      </x:c>
      <x:c r="F31" s="24" t="n">
        <x:v>45</x:v>
      </x:c>
      <x:c r="G31" s="24" t="n">
        <x:v>5</x:v>
      </x:c>
      <x:c r="H31" s="22" t="n">
        <x:v>1475.69</x:v>
      </x:c>
      <x:c r="I31" s="24" t="str">
        <x:v>Delivered</x:v>
      </x:c>
      <x:c r="J31" s="24" t="str">
        <x:f>XLOOKUP(B31,Restaurants!$A$4:$A$18,Restaurants!$B$4:$B$18,"Unknown")</x:f>
        <x:v>Wok Works</x:v>
      </x:c>
      <x:c r="K31" s="24" t="str">
        <x:f>XLOOKUP(B31,Restaurants!$A$4:$A$18,Restaurants!$D$4:$D$18,"Unknown")</x:f>
        <x:v>QSR</x:v>
      </x:c>
      <x:c r="L31" s="24" t="str">
        <x:f>IF(AND(I31="Delivered",F31&lt;=40),"On-Time",IF(I31="Cancelled","Cancelled","Review"))</x:f>
        <x:v>Review</x:v>
      </x:c>
    </x:row>
    <x:row r="32">
      <x:c r="A32" s="24" t="str">
        <x:v>CAP-0029</x:v>
      </x:c>
      <x:c r="B32" s="24" t="str">
        <x:v>CR010</x:v>
      </x:c>
      <x:c r="C32" s="24" t="str">
        <x:v>South Indian</x:v>
      </x:c>
      <x:c r="D32" s="24" t="str">
        <x:v>Central</x:v>
      </x:c>
      <x:c r="E32" s="20" t="n">
        <x:v>46135</x:v>
      </x:c>
      <x:c r="F32" s="24" t="n">
        <x:v>30</x:v>
      </x:c>
      <x:c r="G32" s="24" t="n">
        <x:v>3.8</x:v>
      </x:c>
      <x:c r="H32" s="22" t="n">
        <x:v>912.94</x:v>
      </x:c>
      <x:c r="I32" s="24" t="str">
        <x:v>Delivered</x:v>
      </x:c>
      <x:c r="J32" s="24" t="str">
        <x:f>XLOOKUP(B32,Restaurants!$A$4:$A$18,Restaurants!$B$4:$B$18,"Unknown")</x:f>
        <x:v>Pizza Point</x:v>
      </x:c>
      <x:c r="K32" s="24" t="str">
        <x:f>XLOOKUP(B32,Restaurants!$A$4:$A$18,Restaurants!$D$4:$D$18,"Unknown")</x:f>
        <x:v>Cloud Kitchen</x:v>
      </x:c>
      <x:c r="L32" s="24" t="str">
        <x:f>IF(AND(I32="Delivered",F32&lt;=40),"On-Time",IF(I32="Cancelled","Cancelled","Review"))</x:f>
        <x:v>On-Time</x:v>
      </x:c>
    </x:row>
    <x:row r="33">
      <x:c r="A33" s="24" t="str">
        <x:v>CAP-0030</x:v>
      </x:c>
      <x:c r="B33" s="24" t="str">
        <x:v>CR006</x:v>
      </x:c>
      <x:c r="C33" s="24" t="str">
        <x:v>North Indian</x:v>
      </x:c>
      <x:c r="D33" s="24" t="str">
        <x:v>North</x:v>
      </x:c>
      <x:c r="E33" s="20" t="n">
        <x:v>46164</x:v>
      </x:c>
      <x:c r="F33" s="24" t="n">
        <x:v>40</x:v>
      </x:c>
      <x:c r="G33" s="24" t="n">
        <x:v>4.5</x:v>
      </x:c>
      <x:c r="H33" s="22" t="n">
        <x:v>751.58</x:v>
      </x:c>
      <x:c r="I33" s="24" t="str">
        <x:v>Delivered</x:v>
      </x:c>
      <x:c r="J33" s="24" t="str">
        <x:f>XLOOKUP(B33,Restaurants!$A$4:$A$18,Restaurants!$B$4:$B$18,"Unknown")</x:f>
        <x:v>Tandoor Town</x:v>
      </x:c>
      <x:c r="K33" s="24" t="str">
        <x:f>XLOOKUP(B33,Restaurants!$A$4:$A$18,Restaurants!$D$4:$D$18,"Unknown")</x:f>
        <x:v>QSR</x:v>
      </x:c>
      <x:c r="L33" s="24" t="str">
        <x:f>IF(AND(I33="Delivered",F33&lt;=40),"On-Time",IF(I33="Cancelled","Cancelled","Review"))</x:f>
        <x:v>On-Time</x:v>
      </x:c>
    </x:row>
    <x:row r="34">
      <x:c r="A34" s="24" t="str">
        <x:v>CAP-0031</x:v>
      </x:c>
      <x:c r="B34" s="24" t="str">
        <x:v>CR004</x:v>
      </x:c>
      <x:c r="C34" s="24" t="str">
        <x:v>North Indian</x:v>
      </x:c>
      <x:c r="D34" s="24" t="str">
        <x:v>West</x:v>
      </x:c>
      <x:c r="E34" s="20" t="n">
        <x:v>46146</x:v>
      </x:c>
      <x:c r="F34" s="24" t="n">
        <x:v>29</x:v>
      </x:c>
      <x:c r="G34" s="24" t="n">
        <x:v>4.3</x:v>
      </x:c>
      <x:c r="H34" s="22" t="n">
        <x:v>760.92</x:v>
      </x:c>
      <x:c r="I34" s="24" t="str">
        <x:v>Delivered</x:v>
      </x:c>
      <x:c r="J34" s="24" t="str">
        <x:f>XLOOKUP(B34,Restaurants!$A$4:$A$18,Restaurants!$B$4:$B$18,"Unknown")</x:f>
        <x:v>Pasta Plaza</x:v>
      </x:c>
      <x:c r="K34" s="24" t="str">
        <x:f>XLOOKUP(B34,Restaurants!$A$4:$A$18,Restaurants!$D$4:$D$18,"Unknown")</x:f>
        <x:v>Cloud Kitchen</x:v>
      </x:c>
      <x:c r="L34" s="24" t="str">
        <x:f>IF(AND(I34="Delivered",F34&lt;=40),"On-Time",IF(I34="Cancelled","Cancelled","Review"))</x:f>
        <x:v>On-Time</x:v>
      </x:c>
    </x:row>
    <x:row r="35">
      <x:c r="A35" s="24" t="str">
        <x:v>CAP-0032</x:v>
      </x:c>
      <x:c r="B35" s="24" t="str">
        <x:v>CR010</x:v>
      </x:c>
      <x:c r="C35" s="24" t="str">
        <x:v>North Indian</x:v>
      </x:c>
      <x:c r="D35" s="24" t="str">
        <x:v>Central</x:v>
      </x:c>
      <x:c r="E35" s="20" t="n">
        <x:v>46146</x:v>
      </x:c>
      <x:c r="F35" s="24" t="n">
        <x:v>36</x:v>
      </x:c>
      <x:c r="G35" s="24" t="n">
        <x:v>4</x:v>
      </x:c>
      <x:c r="H35" s="22" t="n">
        <x:v>433.25</x:v>
      </x:c>
      <x:c r="I35" s="24" t="str">
        <x:v>Delivered</x:v>
      </x:c>
      <x:c r="J35" s="24" t="str">
        <x:f>XLOOKUP(B35,Restaurants!$A$4:$A$18,Restaurants!$B$4:$B$18,"Unknown")</x:f>
        <x:v>Pizza Point</x:v>
      </x:c>
      <x:c r="K35" s="24" t="str">
        <x:f>XLOOKUP(B35,Restaurants!$A$4:$A$18,Restaurants!$D$4:$D$18,"Unknown")</x:f>
        <x:v>Cloud Kitchen</x:v>
      </x:c>
      <x:c r="L35" s="24" t="str">
        <x:f>IF(AND(I35="Delivered",F35&lt;=40),"On-Time",IF(I35="Cancelled","Cancelled","Review"))</x:f>
        <x:v>On-Time</x:v>
      </x:c>
    </x:row>
    <x:row r="36">
      <x:c r="A36" s="24" t="str">
        <x:v>CAP-0033</x:v>
      </x:c>
      <x:c r="B36" s="24" t="str">
        <x:v>CR005</x:v>
      </x:c>
      <x:c r="C36" s="24" t="str">
        <x:v>South Indian</x:v>
      </x:c>
      <x:c r="D36" s="24" t="str">
        <x:v>Central</x:v>
      </x:c>
      <x:c r="E36" s="20" t="n">
        <x:v>46164</x:v>
      </x:c>
      <x:c r="F36" s="24" t="n">
        <x:v>60</x:v>
      </x:c>
      <x:c r="G36" s="24" t="n">
        <x:v>3.7</x:v>
      </x:c>
      <x:c r="H36" s="22" t="n">
        <x:v>1443.25</x:v>
      </x:c>
      <x:c r="I36" s="24" t="str">
        <x:v>Delivered</x:v>
      </x:c>
      <x:c r="J36" s="24" t="str">
        <x:f>XLOOKUP(B36,Restaurants!$A$4:$A$18,Restaurants!$B$4:$B$18,"Unknown")</x:f>
        <x:v>Biryani Bay</x:v>
      </x:c>
      <x:c r="K36" s="24" t="str">
        <x:f>XLOOKUP(B36,Restaurants!$A$4:$A$18,Restaurants!$D$4:$D$18,"Unknown")</x:f>
        <x:v>Dine-in</x:v>
      </x:c>
      <x:c r="L36" s="24" t="str">
        <x:f>IF(AND(I36="Delivered",F36&lt;=40),"On-Time",IF(I36="Cancelled","Cancelled","Review"))</x:f>
        <x:v>Review</x:v>
      </x:c>
    </x:row>
    <x:row r="37">
      <x:c r="A37" s="24" t="str">
        <x:v>CAP-0034</x:v>
      </x:c>
      <x:c r="B37" s="24" t="str">
        <x:v>CR012</x:v>
      </x:c>
      <x:c r="C37" s="24" t="str">
        <x:v>North Indian</x:v>
      </x:c>
      <x:c r="D37" s="24" t="str">
        <x:v>South</x:v>
      </x:c>
      <x:c r="E37" s="20" t="n">
        <x:v>46194</x:v>
      </x:c>
      <x:c r="F37" s="24" t="n">
        <x:v>50</x:v>
      </x:c>
      <x:c r="G37" s="24" t="n">
        <x:v>4.2</x:v>
      </x:c>
      <x:c r="H37" s="22" t="n">
        <x:v>589.65</x:v>
      </x:c>
      <x:c r="I37" s="24" t="str">
        <x:v>Delayed</x:v>
      </x:c>
      <x:c r="J37" s="24" t="str">
        <x:f>XLOOKUP(B37,Restaurants!$A$4:$A$18,Restaurants!$B$4:$B$18,"Unknown")</x:f>
        <x:v>Sushi Street</x:v>
      </x:c>
      <x:c r="K37" s="24" t="str">
        <x:f>XLOOKUP(B37,Restaurants!$A$4:$A$18,Restaurants!$D$4:$D$18,"Unknown")</x:f>
        <x:v>QSR</x:v>
      </x:c>
      <x:c r="L37" s="24" t="str">
        <x:f>IF(AND(I37="Delivered",F37&lt;=40),"On-Time",IF(I37="Cancelled","Cancelled","Review"))</x:f>
        <x:v>Review</x:v>
      </x:c>
    </x:row>
    <x:row r="38">
      <x:c r="A38" s="24" t="str">
        <x:v>CAP-0035</x:v>
      </x:c>
      <x:c r="B38" s="24" t="str">
        <x:v>CR003</x:v>
      </x:c>
      <x:c r="C38" s="24" t="str">
        <x:v>Italian</x:v>
      </x:c>
      <x:c r="D38" s="24" t="str">
        <x:v>East</x:v>
      </x:c>
      <x:c r="E38" s="20" t="n">
        <x:v>46132</x:v>
      </x:c>
      <x:c r="F38" s="24" t="n">
        <x:v>49</x:v>
      </x:c>
      <x:c r="G38" s="24" t="n">
        <x:v>4.2</x:v>
      </x:c>
      <x:c r="H38" s="22" t="n">
        <x:v>1338.01</x:v>
      </x:c>
      <x:c r="I38" s="24" t="str">
        <x:v>Delivered</x:v>
      </x:c>
      <x:c r="J38" s="24" t="str">
        <x:f>XLOOKUP(B38,Restaurants!$A$4:$A$18,Restaurants!$B$4:$B$18,"Unknown")</x:f>
        <x:v>Wok Works</x:v>
      </x:c>
      <x:c r="K38" s="24" t="str">
        <x:f>XLOOKUP(B38,Restaurants!$A$4:$A$18,Restaurants!$D$4:$D$18,"Unknown")</x:f>
        <x:v>QSR</x:v>
      </x:c>
      <x:c r="L38" s="24" t="str">
        <x:f>IF(AND(I38="Delivered",F38&lt;=40),"On-Time",IF(I38="Cancelled","Cancelled","Review"))</x:f>
        <x:v>Review</x:v>
      </x:c>
    </x:row>
    <x:row r="39">
      <x:c r="A39" s="24" t="str">
        <x:v>CAP-0036</x:v>
      </x:c>
      <x:c r="B39" s="24" t="str">
        <x:v>CR015</x:v>
      </x:c>
      <x:c r="C39" s="24" t="str">
        <x:v>Italian</x:v>
      </x:c>
      <x:c r="D39" s="24" t="str">
        <x:v>Central</x:v>
      </x:c>
      <x:c r="E39" s="20" t="n">
        <x:v>46181</x:v>
      </x:c>
      <x:c r="F39" s="24" t="n">
        <x:v>64</x:v>
      </x:c>
      <x:c r="G39" s="24" t="n">
        <x:v>2.7</x:v>
      </x:c>
      <x:c r="H39" s="22" t="n">
        <x:v>1304.53</x:v>
      </x:c>
      <x:c r="I39" s="24" t="str">
        <x:v>Cancelled</x:v>
      </x:c>
      <x:c r="J39" s="24" t="str">
        <x:f>XLOOKUP(B39,Restaurants!$A$4:$A$18,Restaurants!$B$4:$B$18,"Unknown")</x:f>
        <x:v>Chaat Chowk</x:v>
      </x:c>
      <x:c r="K39" s="24" t="str">
        <x:f>XLOOKUP(B39,Restaurants!$A$4:$A$18,Restaurants!$D$4:$D$18,"Unknown")</x:f>
        <x:v>QSR</x:v>
      </x:c>
      <x:c r="L39" s="24" t="str">
        <x:f>IF(AND(I39="Delivered",F39&lt;=40),"On-Time",IF(I39="Cancelled","Cancelled","Review"))</x:f>
        <x:v>Cancelled</x:v>
      </x:c>
    </x:row>
    <x:row r="40">
      <x:c r="A40" s="24" t="str">
        <x:v>CAP-0037</x:v>
      </x:c>
      <x:c r="B40" s="24" t="str">
        <x:v>CR010</x:v>
      </x:c>
      <x:c r="C40" s="24" t="str">
        <x:v>North Indian</x:v>
      </x:c>
      <x:c r="D40" s="24" t="str">
        <x:v>Central</x:v>
      </x:c>
      <x:c r="E40" s="20" t="n">
        <x:v>46180</x:v>
      </x:c>
      <x:c r="F40" s="24" t="n">
        <x:v>36</x:v>
      </x:c>
      <x:c r="G40" s="24" t="n">
        <x:v>4</x:v>
      </x:c>
      <x:c r="H40" s="22" t="n">
        <x:v>1124.46</x:v>
      </x:c>
      <x:c r="I40" s="24" t="str">
        <x:v>Delivered</x:v>
      </x:c>
      <x:c r="J40" s="24" t="str">
        <x:f>XLOOKUP(B40,Restaurants!$A$4:$A$18,Restaurants!$B$4:$B$18,"Unknown")</x:f>
        <x:v>Pizza Point</x:v>
      </x:c>
      <x:c r="K40" s="24" t="str">
        <x:f>XLOOKUP(B40,Restaurants!$A$4:$A$18,Restaurants!$D$4:$D$18,"Unknown")</x:f>
        <x:v>Cloud Kitchen</x:v>
      </x:c>
      <x:c r="L40" s="24" t="str">
        <x:f>IF(AND(I40="Delivered",F40&lt;=40),"On-Time",IF(I40="Cancelled","Cancelled","Review"))</x:f>
        <x:v>On-Time</x:v>
      </x:c>
    </x:row>
    <x:row r="41">
      <x:c r="A41" s="24" t="str">
        <x:v>CAP-0038</x:v>
      </x:c>
      <x:c r="B41" s="24" t="str">
        <x:v>CR001</x:v>
      </x:c>
      <x:c r="C41" s="24" t="str">
        <x:v>South Indian</x:v>
      </x:c>
      <x:c r="D41" s="24" t="str">
        <x:v>North</x:v>
      </x:c>
      <x:c r="E41" s="20" t="n">
        <x:v>46186</x:v>
      </x:c>
      <x:c r="F41" s="24" t="n">
        <x:v>50</x:v>
      </x:c>
      <x:c r="G41" s="24" t="n">
        <x:v>5</x:v>
      </x:c>
      <x:c r="H41" s="22" t="n">
        <x:v>934.85</x:v>
      </x:c>
      <x:c r="I41" s="24" t="str">
        <x:v>Delivered</x:v>
      </x:c>
      <x:c r="J41" s="24" t="str">
        <x:f>XLOOKUP(B41,Restaurants!$A$4:$A$18,Restaurants!$B$4:$B$18,"Unknown")</x:f>
        <x:v>Spice Route</x:v>
      </x:c>
      <x:c r="K41" s="24" t="str">
        <x:f>XLOOKUP(B41,Restaurants!$A$4:$A$18,Restaurants!$D$4:$D$18,"Unknown")</x:f>
        <x:v>Cloud Kitchen</x:v>
      </x:c>
      <x:c r="L41" s="24" t="str">
        <x:f>IF(AND(I41="Delivered",F41&lt;=40),"On-Time",IF(I41="Cancelled","Cancelled","Review"))</x:f>
        <x:v>Review</x:v>
      </x:c>
    </x:row>
    <x:row r="42">
      <x:c r="A42" s="24" t="str">
        <x:v>CAP-0039</x:v>
      </x:c>
      <x:c r="B42" s="24" t="str">
        <x:v>CR011</x:v>
      </x:c>
      <x:c r="C42" s="24" t="str">
        <x:v>South Indian</x:v>
      </x:c>
      <x:c r="D42" s="24" t="str">
        <x:v>North</x:v>
      </x:c>
      <x:c r="E42" s="20" t="n">
        <x:v>46187</x:v>
      </x:c>
      <x:c r="F42" s="24" t="n">
        <x:v>48</x:v>
      </x:c>
      <x:c r="G42" s="24" t="n">
        <x:v>3.8</x:v>
      </x:c>
      <x:c r="H42" s="22" t="n">
        <x:v>336.24</x:v>
      </x:c>
      <x:c r="I42" s="24" t="str">
        <x:v>Delivered</x:v>
      </x:c>
      <x:c r="J42" s="24" t="str">
        <x:f>XLOOKUP(B42,Restaurants!$A$4:$A$18,Restaurants!$B$4:$B$18,"Unknown")</x:f>
        <x:v>Kebab Kingdom</x:v>
      </x:c>
      <x:c r="K42" s="24" t="str">
        <x:f>XLOOKUP(B42,Restaurants!$A$4:$A$18,Restaurants!$D$4:$D$18,"Unknown")</x:f>
        <x:v>Dine-in</x:v>
      </x:c>
      <x:c r="L42" s="24" t="str">
        <x:f>IF(AND(I42="Delivered",F42&lt;=40),"On-Time",IF(I42="Cancelled","Cancelled","Review"))</x:f>
        <x:v>Review</x:v>
      </x:c>
    </x:row>
    <x:row r="43">
      <x:c r="A43" s="24" t="str">
        <x:v>CAP-0040</x:v>
      </x:c>
      <x:c r="B43" s="24" t="str">
        <x:v>CR003</x:v>
      </x:c>
      <x:c r="C43" s="24" t="str">
        <x:v>Italian</x:v>
      </x:c>
      <x:c r="D43" s="24" t="str">
        <x:v>East</x:v>
      </x:c>
      <x:c r="E43" s="20" t="n">
        <x:v>46171</x:v>
      </x:c>
      <x:c r="F43" s="24" t="n">
        <x:v>21</x:v>
      </x:c>
      <x:c r="G43" s="24" t="n">
        <x:v>3.9</x:v>
      </x:c>
      <x:c r="H43" s="22" t="n">
        <x:v>727.66</x:v>
      </x:c>
      <x:c r="I43" s="24" t="str">
        <x:v>Delivered</x:v>
      </x:c>
      <x:c r="J43" s="24" t="str">
        <x:f>XLOOKUP(B43,Restaurants!$A$4:$A$18,Restaurants!$B$4:$B$18,"Unknown")</x:f>
        <x:v>Wok Works</x:v>
      </x:c>
      <x:c r="K43" s="24" t="str">
        <x:f>XLOOKUP(B43,Restaurants!$A$4:$A$18,Restaurants!$D$4:$D$18,"Unknown")</x:f>
        <x:v>QSR</x:v>
      </x:c>
      <x:c r="L43" s="24" t="str">
        <x:f>IF(AND(I43="Delivered",F43&lt;=40),"On-Time",IF(I43="Cancelled","Cancelled","Review"))</x:f>
        <x:v>On-Time</x:v>
      </x:c>
    </x:row>
    <x:row r="44">
      <x:c r="A44" s="24" t="str">
        <x:v>CAP-0041</x:v>
      </x:c>
      <x:c r="B44" s="24" t="str">
        <x:v>CR001</x:v>
      </x:c>
      <x:c r="C44" s="24" t="str">
        <x:v>Italian</x:v>
      </x:c>
      <x:c r="D44" s="24" t="str">
        <x:v>North</x:v>
      </x:c>
      <x:c r="E44" s="20" t="n">
        <x:v>46145</x:v>
      </x:c>
      <x:c r="F44" s="24" t="n">
        <x:v>54</x:v>
      </x:c>
      <x:c r="G44" s="24" t="n">
        <x:v>2.8</x:v>
      </x:c>
      <x:c r="H44" s="22" t="n">
        <x:v>320.2</x:v>
      </x:c>
      <x:c r="I44" s="24" t="str">
        <x:v>Cancelled</x:v>
      </x:c>
      <x:c r="J44" s="24" t="str">
        <x:f>XLOOKUP(B44,Restaurants!$A$4:$A$18,Restaurants!$B$4:$B$18,"Unknown")</x:f>
        <x:v>Spice Route</x:v>
      </x:c>
      <x:c r="K44" s="24" t="str">
        <x:f>XLOOKUP(B44,Restaurants!$A$4:$A$18,Restaurants!$D$4:$D$18,"Unknown")</x:f>
        <x:v>Cloud Kitchen</x:v>
      </x:c>
      <x:c r="L44" s="24" t="str">
        <x:f>IF(AND(I44="Delivered",F44&lt;=40),"On-Time",IF(I44="Cancelled","Cancelled","Review"))</x:f>
        <x:v>Cancelled</x:v>
      </x:c>
    </x:row>
    <x:row r="45">
      <x:c r="A45" s="24" t="str">
        <x:v>CAP-0042</x:v>
      </x:c>
      <x:c r="B45" s="24" t="str">
        <x:v>CR006</x:v>
      </x:c>
      <x:c r="C45" s="24" t="str">
        <x:v>North Indian</x:v>
      </x:c>
      <x:c r="D45" s="24" t="str">
        <x:v>North</x:v>
      </x:c>
      <x:c r="E45" s="20" t="n">
        <x:v>46182</x:v>
      </x:c>
      <x:c r="F45" s="24" t="n">
        <x:v>59</x:v>
      </x:c>
      <x:c r="G45" s="24" t="n">
        <x:v>3.4</x:v>
      </x:c>
      <x:c r="H45" s="22" t="n">
        <x:v>1697.35</x:v>
      </x:c>
      <x:c r="I45" s="24" t="str">
        <x:v>Delayed</x:v>
      </x:c>
      <x:c r="J45" s="24" t="str">
        <x:f>XLOOKUP(B45,Restaurants!$A$4:$A$18,Restaurants!$B$4:$B$18,"Unknown")</x:f>
        <x:v>Tandoor Town</x:v>
      </x:c>
      <x:c r="K45" s="24" t="str">
        <x:f>XLOOKUP(B45,Restaurants!$A$4:$A$18,Restaurants!$D$4:$D$18,"Unknown")</x:f>
        <x:v>QSR</x:v>
      </x:c>
      <x:c r="L45" s="24" t="str">
        <x:f>IF(AND(I45="Delivered",F45&lt;=40),"On-Time",IF(I45="Cancelled","Cancelled","Review"))</x:f>
        <x:v>Review</x:v>
      </x:c>
    </x:row>
    <x:row r="46">
      <x:c r="A46" s="24" t="str">
        <x:v>CAP-0043</x:v>
      </x:c>
      <x:c r="B46" s="24" t="str">
        <x:v>CR001</x:v>
      </x:c>
      <x:c r="C46" s="24" t="str">
        <x:v>Chinese</x:v>
      </x:c>
      <x:c r="D46" s="24" t="str">
        <x:v>North</x:v>
      </x:c>
      <x:c r="E46" s="20" t="n">
        <x:v>46165</x:v>
      </x:c>
      <x:c r="F46" s="24" t="n">
        <x:v>49</x:v>
      </x:c>
      <x:c r="G46" s="24" t="n">
        <x:v>4.8</x:v>
      </x:c>
      <x:c r="H46" s="22" t="n">
        <x:v>1380.4</x:v>
      </x:c>
      <x:c r="I46" s="24" t="str">
        <x:v>Delivered</x:v>
      </x:c>
      <x:c r="J46" s="24" t="str">
        <x:f>XLOOKUP(B46,Restaurants!$A$4:$A$18,Restaurants!$B$4:$B$18,"Unknown")</x:f>
        <x:v>Spice Route</x:v>
      </x:c>
      <x:c r="K46" s="24" t="str">
        <x:f>XLOOKUP(B46,Restaurants!$A$4:$A$18,Restaurants!$D$4:$D$18,"Unknown")</x:f>
        <x:v>Cloud Kitchen</x:v>
      </x:c>
      <x:c r="L46" s="24" t="str">
        <x:f>IF(AND(I46="Delivered",F46&lt;=40),"On-Time",IF(I46="Cancelled","Cancelled","Review"))</x:f>
        <x:v>Review</x:v>
      </x:c>
    </x:row>
    <x:row r="47">
      <x:c r="A47" s="24" t="str">
        <x:v>CAP-0044</x:v>
      </x:c>
      <x:c r="B47" s="24" t="str">
        <x:v>CR007</x:v>
      </x:c>
      <x:c r="C47" s="24" t="str">
        <x:v>Chinese</x:v>
      </x:c>
      <x:c r="D47" s="24" t="str">
        <x:v>South</x:v>
      </x:c>
      <x:c r="E47" s="20" t="n">
        <x:v>46161</x:v>
      </x:c>
      <x:c r="F47" s="24" t="n">
        <x:v>48</x:v>
      </x:c>
      <x:c r="G47" s="24" t="n">
        <x:v>3.9</x:v>
      </x:c>
      <x:c r="H47" s="22" t="n">
        <x:v>374.39</x:v>
      </x:c>
      <x:c r="I47" s="24" t="str">
        <x:v>Delivered</x:v>
      </x:c>
      <x:c r="J47" s="24" t="str">
        <x:f>XLOOKUP(B47,Restaurants!$A$4:$A$18,Restaurants!$B$4:$B$18,"Unknown")</x:f>
        <x:v>Curry Corner</x:v>
      </x:c>
      <x:c r="K47" s="24" t="str">
        <x:f>XLOOKUP(B47,Restaurants!$A$4:$A$18,Restaurants!$D$4:$D$18,"Unknown")</x:f>
        <x:v>Cloud Kitchen</x:v>
      </x:c>
      <x:c r="L47" s="24" t="str">
        <x:f>IF(AND(I47="Delivered",F47&lt;=40),"On-Time",IF(I47="Cancelled","Cancelled","Review"))</x:f>
        <x:v>Review</x:v>
      </x:c>
    </x:row>
    <x:row r="48">
      <x:c r="A48" s="24" t="str">
        <x:v>CAP-0045</x:v>
      </x:c>
      <x:c r="B48" s="24" t="str">
        <x:v>CR011</x:v>
      </x:c>
      <x:c r="C48" s="24" t="str">
        <x:v>South Indian</x:v>
      </x:c>
      <x:c r="D48" s="24" t="str">
        <x:v>North</x:v>
      </x:c>
      <x:c r="E48" s="20" t="n">
        <x:v>46196</x:v>
      </x:c>
      <x:c r="F48" s="24" t="n">
        <x:v>82</x:v>
      </x:c>
      <x:c r="G48" s="24" t="n">
        <x:v>4.7</x:v>
      </x:c>
      <x:c r="H48" s="22" t="n">
        <x:v>859.24</x:v>
      </x:c>
      <x:c r="I48" s="24" t="str">
        <x:v>Delayed</x:v>
      </x:c>
      <x:c r="J48" s="24" t="str">
        <x:f>XLOOKUP(B48,Restaurants!$A$4:$A$18,Restaurants!$B$4:$B$18,"Unknown")</x:f>
        <x:v>Kebab Kingdom</x:v>
      </x:c>
      <x:c r="K48" s="24" t="str">
        <x:f>XLOOKUP(B48,Restaurants!$A$4:$A$18,Restaurants!$D$4:$D$18,"Unknown")</x:f>
        <x:v>Dine-in</x:v>
      </x:c>
      <x:c r="L48" s="24" t="str">
        <x:f>IF(AND(I48="Delivered",F48&lt;=40),"On-Time",IF(I48="Cancelled","Cancelled","Review"))</x:f>
        <x:v>Review</x:v>
      </x:c>
    </x:row>
    <x:row r="49">
      <x:c r="A49" s="24" t="str">
        <x:v>CAP-0046</x:v>
      </x:c>
      <x:c r="B49" s="24" t="str">
        <x:v>CR003</x:v>
      </x:c>
      <x:c r="C49" s="24" t="str">
        <x:v>South Indian</x:v>
      </x:c>
      <x:c r="D49" s="24" t="str">
        <x:v>East</x:v>
      </x:c>
      <x:c r="E49" s="20" t="n">
        <x:v>46113</x:v>
      </x:c>
      <x:c r="F49" s="24" t="n">
        <x:v>51</x:v>
      </x:c>
      <x:c r="G49" s="24" t="n">
        <x:v>4.1</x:v>
      </x:c>
      <x:c r="H49" s="22" t="n">
        <x:v>1364.6</x:v>
      </x:c>
      <x:c r="I49" s="24" t="str">
        <x:v>Delivered</x:v>
      </x:c>
      <x:c r="J49" s="24" t="str">
        <x:f>XLOOKUP(B49,Restaurants!$A$4:$A$18,Restaurants!$B$4:$B$18,"Unknown")</x:f>
        <x:v>Wok Works</x:v>
      </x:c>
      <x:c r="K49" s="24" t="str">
        <x:f>XLOOKUP(B49,Restaurants!$A$4:$A$18,Restaurants!$D$4:$D$18,"Unknown")</x:f>
        <x:v>QSR</x:v>
      </x:c>
      <x:c r="L49" s="24" t="str">
        <x:f>IF(AND(I49="Delivered",F49&lt;=40),"On-Time",IF(I49="Cancelled","Cancelled","Review"))</x:f>
        <x:v>Review</x:v>
      </x:c>
    </x:row>
    <x:row r="50">
      <x:c r="A50" s="24" t="str">
        <x:v>CAP-0047</x:v>
      </x:c>
      <x:c r="B50" s="24" t="str">
        <x:v>CR007</x:v>
      </x:c>
      <x:c r="C50" s="24" t="str">
        <x:v>Italian</x:v>
      </x:c>
      <x:c r="D50" s="24" t="str">
        <x:v>South</x:v>
      </x:c>
      <x:c r="E50" s="20" t="n">
        <x:v>46142</x:v>
      </x:c>
      <x:c r="F50" s="24" t="n">
        <x:v>32</x:v>
      </x:c>
      <x:c r="G50" s="24" t="n">
        <x:v>4.6</x:v>
      </x:c>
      <x:c r="H50" s="22" t="n">
        <x:v>1702.99</x:v>
      </x:c>
      <x:c r="I50" s="24" t="str">
        <x:v>Delivered</x:v>
      </x:c>
      <x:c r="J50" s="24" t="str">
        <x:f>XLOOKUP(B50,Restaurants!$A$4:$A$18,Restaurants!$B$4:$B$18,"Unknown")</x:f>
        <x:v>Curry Corner</x:v>
      </x:c>
      <x:c r="K50" s="24" t="str">
        <x:f>XLOOKUP(B50,Restaurants!$A$4:$A$18,Restaurants!$D$4:$D$18,"Unknown")</x:f>
        <x:v>Cloud Kitchen</x:v>
      </x:c>
      <x:c r="L50" s="24" t="str">
        <x:f>IF(AND(I50="Delivered",F50&lt;=40),"On-Time",IF(I50="Cancelled","Cancelled","Review"))</x:f>
        <x:v>On-Time</x:v>
      </x:c>
    </x:row>
    <x:row r="51">
      <x:c r="A51" s="24" t="str">
        <x:v>CAP-0048</x:v>
      </x:c>
      <x:c r="B51" s="24" t="str">
        <x:v>CR012</x:v>
      </x:c>
      <x:c r="C51" s="24" t="str">
        <x:v>North Indian</x:v>
      </x:c>
      <x:c r="D51" s="24" t="str">
        <x:v>South</x:v>
      </x:c>
      <x:c r="E51" s="20" t="n">
        <x:v>46117</x:v>
      </x:c>
      <x:c r="F51" s="24" t="n">
        <x:v>37</x:v>
      </x:c>
      <x:c r="G51" s="24" t="n">
        <x:v>4</x:v>
      </x:c>
      <x:c r="H51" s="22" t="n">
        <x:v>1619.82</x:v>
      </x:c>
      <x:c r="I51" s="24" t="str">
        <x:v>Cancelled</x:v>
      </x:c>
      <x:c r="J51" s="24" t="str">
        <x:f>XLOOKUP(B51,Restaurants!$A$4:$A$18,Restaurants!$B$4:$B$18,"Unknown")</x:f>
        <x:v>Sushi Street</x:v>
      </x:c>
      <x:c r="K51" s="24" t="str">
        <x:f>XLOOKUP(B51,Restaurants!$A$4:$A$18,Restaurants!$D$4:$D$18,"Unknown")</x:f>
        <x:v>QSR</x:v>
      </x:c>
      <x:c r="L51" s="24" t="str">
        <x:f>IF(AND(I51="Delivered",F51&lt;=40),"On-Time",IF(I51="Cancelled","Cancelled","Review"))</x:f>
        <x:v>Cancelled</x:v>
      </x:c>
    </x:row>
    <x:row r="52">
      <x:c r="A52" s="24" t="str">
        <x:v>CAP-0049</x:v>
      </x:c>
      <x:c r="B52" s="24" t="str">
        <x:v>CR001</x:v>
      </x:c>
      <x:c r="C52" s="24" t="str">
        <x:v>South Indian</x:v>
      </x:c>
      <x:c r="D52" s="24" t="str">
        <x:v>North</x:v>
      </x:c>
      <x:c r="E52" s="20" t="n">
        <x:v>46139</x:v>
      </x:c>
      <x:c r="F52" s="24" t="n">
        <x:v>27</x:v>
      </x:c>
      <x:c r="G52" s="24" t="n">
        <x:v>3.9</x:v>
      </x:c>
      <x:c r="H52" s="22" t="n">
        <x:v>1291.64</x:v>
      </x:c>
      <x:c r="I52" s="24" t="str">
        <x:v>Delivered</x:v>
      </x:c>
      <x:c r="J52" s="24" t="str">
        <x:f>XLOOKUP(B52,Restaurants!$A$4:$A$18,Restaurants!$B$4:$B$18,"Unknown")</x:f>
        <x:v>Spice Route</x:v>
      </x:c>
      <x:c r="K52" s="24" t="str">
        <x:f>XLOOKUP(B52,Restaurants!$A$4:$A$18,Restaurants!$D$4:$D$18,"Unknown")</x:f>
        <x:v>Cloud Kitchen</x:v>
      </x:c>
      <x:c r="L52" s="24" t="str">
        <x:f>IF(AND(I52="Delivered",F52&lt;=40),"On-Time",IF(I52="Cancelled","Cancelled","Review"))</x:f>
        <x:v>On-Time</x:v>
      </x:c>
    </x:row>
    <x:row r="53">
      <x:c r="A53" s="24" t="str">
        <x:v>CAP-0050</x:v>
      </x:c>
      <x:c r="B53" s="24" t="str">
        <x:v>CR014</x:v>
      </x:c>
      <x:c r="C53" s="24" t="str">
        <x:v>North Indian</x:v>
      </x:c>
      <x:c r="D53" s="24" t="str">
        <x:v>West</x:v>
      </x:c>
      <x:c r="E53" s="20" t="n">
        <x:v>46144</x:v>
      </x:c>
      <x:c r="F53" s="24" t="n">
        <x:v>30</x:v>
      </x:c>
      <x:c r="G53" s="24" t="n">
        <x:v>4.4</x:v>
      </x:c>
      <x:c r="H53" s="22" t="n">
        <x:v>586.77</x:v>
      </x:c>
      <x:c r="I53" s="24" t="str">
        <x:v>Delivered</x:v>
      </x:c>
      <x:c r="J53" s="24" t="str">
        <x:f>XLOOKUP(B53,Restaurants!$A$4:$A$18,Restaurants!$B$4:$B$18,"Unknown")</x:f>
        <x:v>Burger Barn</x:v>
      </x:c>
      <x:c r="K53" s="24" t="str">
        <x:f>XLOOKUP(B53,Restaurants!$A$4:$A$18,Restaurants!$D$4:$D$18,"Unknown")</x:f>
        <x:v>Dine-in</x:v>
      </x:c>
      <x:c r="L53" s="24" t="str">
        <x:f>IF(AND(I53="Delivered",F53&lt;=40),"On-Time",IF(I53="Cancelled","Cancelled","Review"))</x:f>
        <x:v>On-Time</x:v>
      </x:c>
    </x:row>
    <x:row r="54">
      <x:c r="A54" s="24" t="str">
        <x:v>CAP-0051</x:v>
      </x:c>
      <x:c r="B54" s="24" t="str">
        <x:v>CR014</x:v>
      </x:c>
      <x:c r="C54" s="24" t="str">
        <x:v>North Indian</x:v>
      </x:c>
      <x:c r="D54" s="24" t="str">
        <x:v>West</x:v>
      </x:c>
      <x:c r="E54" s="20" t="n">
        <x:v>46130</x:v>
      </x:c>
      <x:c r="F54" s="24" t="n">
        <x:v>32</x:v>
      </x:c>
      <x:c r="G54" s="24" t="n">
        <x:v>5</x:v>
      </x:c>
      <x:c r="H54" s="22" t="n">
        <x:v>1383.85</x:v>
      </x:c>
      <x:c r="I54" s="24" t="str">
        <x:v>Delivered</x:v>
      </x:c>
      <x:c r="J54" s="24" t="str">
        <x:f>XLOOKUP(B54,Restaurants!$A$4:$A$18,Restaurants!$B$4:$B$18,"Unknown")</x:f>
        <x:v>Burger Barn</x:v>
      </x:c>
      <x:c r="K54" s="24" t="str">
        <x:f>XLOOKUP(B54,Restaurants!$A$4:$A$18,Restaurants!$D$4:$D$18,"Unknown")</x:f>
        <x:v>Dine-in</x:v>
      </x:c>
      <x:c r="L54" s="24" t="str">
        <x:f>IF(AND(I54="Delivered",F54&lt;=40),"On-Time",IF(I54="Cancelled","Cancelled","Review"))</x:f>
        <x:v>On-Time</x:v>
      </x:c>
    </x:row>
    <x:row r="55">
      <x:c r="A55" s="24" t="str">
        <x:v>CAP-0052</x:v>
      </x:c>
      <x:c r="B55" s="24" t="str">
        <x:v>CR006</x:v>
      </x:c>
      <x:c r="C55" s="24" t="str">
        <x:v>Chinese</x:v>
      </x:c>
      <x:c r="D55" s="24" t="str">
        <x:v>North</x:v>
      </x:c>
      <x:c r="E55" s="20" t="n">
        <x:v>46143</x:v>
      </x:c>
      <x:c r="F55" s="24" t="n">
        <x:v>48</x:v>
      </x:c>
      <x:c r="G55" s="24" t="n">
        <x:v>4.8</x:v>
      </x:c>
      <x:c r="H55" s="22" t="n">
        <x:v>592.62</x:v>
      </x:c>
      <x:c r="I55" s="24" t="str">
        <x:v>Delivered</x:v>
      </x:c>
      <x:c r="J55" s="24" t="str">
        <x:f>XLOOKUP(B55,Restaurants!$A$4:$A$18,Restaurants!$B$4:$B$18,"Unknown")</x:f>
        <x:v>Tandoor Town</x:v>
      </x:c>
      <x:c r="K55" s="24" t="str">
        <x:f>XLOOKUP(B55,Restaurants!$A$4:$A$18,Restaurants!$D$4:$D$18,"Unknown")</x:f>
        <x:v>QSR</x:v>
      </x:c>
      <x:c r="L55" s="24" t="str">
        <x:f>IF(AND(I55="Delivered",F55&lt;=40),"On-Time",IF(I55="Cancelled","Cancelled","Review"))</x:f>
        <x:v>Review</x:v>
      </x:c>
    </x:row>
    <x:row r="56">
      <x:c r="A56" s="24" t="str">
        <x:v>CAP-0053</x:v>
      </x:c>
      <x:c r="B56" s="24" t="str">
        <x:v>CR005</x:v>
      </x:c>
      <x:c r="C56" s="24" t="str">
        <x:v>Chinese</x:v>
      </x:c>
      <x:c r="D56" s="24" t="str">
        <x:v>Central</x:v>
      </x:c>
      <x:c r="E56" s="20" t="n">
        <x:v>46120</x:v>
      </x:c>
      <x:c r="F56" s="24" t="n">
        <x:v>21</x:v>
      </x:c>
      <x:c r="G56" s="24" t="n">
        <x:v>3.7</x:v>
      </x:c>
      <x:c r="H56" s="22" t="n">
        <x:v>521.46</x:v>
      </x:c>
      <x:c r="I56" s="24" t="str">
        <x:v>Delivered</x:v>
      </x:c>
      <x:c r="J56" s="24" t="str">
        <x:f>XLOOKUP(B56,Restaurants!$A$4:$A$18,Restaurants!$B$4:$B$18,"Unknown")</x:f>
        <x:v>Biryani Bay</x:v>
      </x:c>
      <x:c r="K56" s="24" t="str">
        <x:f>XLOOKUP(B56,Restaurants!$A$4:$A$18,Restaurants!$D$4:$D$18,"Unknown")</x:f>
        <x:v>Dine-in</x:v>
      </x:c>
      <x:c r="L56" s="24" t="str">
        <x:f>IF(AND(I56="Delivered",F56&lt;=40),"On-Time",IF(I56="Cancelled","Cancelled","Review"))</x:f>
        <x:v>On-Time</x:v>
      </x:c>
    </x:row>
    <x:row r="57">
      <x:c r="A57" s="24" t="str">
        <x:v>CAP-0054</x:v>
      </x:c>
      <x:c r="B57" s="24" t="str">
        <x:v>CR011</x:v>
      </x:c>
      <x:c r="C57" s="24" t="str">
        <x:v>Italian</x:v>
      </x:c>
      <x:c r="D57" s="24" t="str">
        <x:v>North</x:v>
      </x:c>
      <x:c r="E57" s="20" t="n">
        <x:v>46184</x:v>
      </x:c>
      <x:c r="F57" s="24" t="n">
        <x:v>66</x:v>
      </x:c>
      <x:c r="G57" s="24" t="n">
        <x:v>4</x:v>
      </x:c>
      <x:c r="H57" s="22" t="n">
        <x:v>1290.58</x:v>
      </x:c>
      <x:c r="I57" s="24" t="str">
        <x:v>Delivered</x:v>
      </x:c>
      <x:c r="J57" s="24" t="str">
        <x:f>XLOOKUP(B57,Restaurants!$A$4:$A$18,Restaurants!$B$4:$B$18,"Unknown")</x:f>
        <x:v>Kebab Kingdom</x:v>
      </x:c>
      <x:c r="K57" s="24" t="str">
        <x:f>XLOOKUP(B57,Restaurants!$A$4:$A$18,Restaurants!$D$4:$D$18,"Unknown")</x:f>
        <x:v>Dine-in</x:v>
      </x:c>
      <x:c r="L57" s="24" t="str">
        <x:f>IF(AND(I57="Delivered",F57&lt;=40),"On-Time",IF(I57="Cancelled","Cancelled","Review"))</x:f>
        <x:v>Review</x:v>
      </x:c>
    </x:row>
    <x:row r="58">
      <x:c r="A58" s="24" t="str">
        <x:v>CAP-0055</x:v>
      </x:c>
      <x:c r="B58" s="24" t="str">
        <x:v>CR013</x:v>
      </x:c>
      <x:c r="C58" s="24" t="str">
        <x:v>Chinese</x:v>
      </x:c>
      <x:c r="D58" s="24" t="str">
        <x:v>East</x:v>
      </x:c>
      <x:c r="E58" s="20" t="n">
        <x:v>46202</x:v>
      </x:c>
      <x:c r="F58" s="24" t="n">
        <x:v>44</x:v>
      </x:c>
      <x:c r="G58" s="24" t="n">
        <x:v>4.6</x:v>
      </x:c>
      <x:c r="H58" s="22" t="n">
        <x:v>1419.34</x:v>
      </x:c>
      <x:c r="I58" s="24" t="str">
        <x:v>Delivered</x:v>
      </x:c>
      <x:c r="J58" s="24" t="str">
        <x:f>XLOOKUP(B58,Restaurants!$A$4:$A$18,Restaurants!$B$4:$B$18,"Unknown")</x:f>
        <x:v>Thali Trails</x:v>
      </x:c>
      <x:c r="K58" s="24" t="str">
        <x:f>XLOOKUP(B58,Restaurants!$A$4:$A$18,Restaurants!$D$4:$D$18,"Unknown")</x:f>
        <x:v>Cloud Kitchen</x:v>
      </x:c>
      <x:c r="L58" s="24" t="str">
        <x:f>IF(AND(I58="Delivered",F58&lt;=40),"On-Time",IF(I58="Cancelled","Cancelled","Review"))</x:f>
        <x:v>Review</x:v>
      </x:c>
    </x:row>
    <x:row r="59">
      <x:c r="A59" s="24" t="str">
        <x:v>CAP-0056</x:v>
      </x:c>
      <x:c r="B59" s="24" t="str">
        <x:v>CR008</x:v>
      </x:c>
      <x:c r="C59" s="24" t="str">
        <x:v>South Indian</x:v>
      </x:c>
      <x:c r="D59" s="24" t="str">
        <x:v>East</x:v>
      </x:c>
      <x:c r="E59" s="20" t="n">
        <x:v>46141</x:v>
      </x:c>
      <x:c r="F59" s="24" t="n">
        <x:v>32</x:v>
      </x:c>
      <x:c r="G59" s="24" t="n">
        <x:v>3.2</x:v>
      </x:c>
      <x:c r="H59" s="22" t="n">
        <x:v>1667.85</x:v>
      </x:c>
      <x:c r="I59" s="24" t="str">
        <x:v>Delivered</x:v>
      </x:c>
      <x:c r="J59" s="24" t="str">
        <x:f>XLOOKUP(B59,Restaurants!$A$4:$A$18,Restaurants!$B$4:$B$18,"Unknown")</x:f>
        <x:v>Idli House</x:v>
      </x:c>
      <x:c r="K59" s="24" t="str">
        <x:f>XLOOKUP(B59,Restaurants!$A$4:$A$18,Restaurants!$D$4:$D$18,"Unknown")</x:f>
        <x:v>Dine-in</x:v>
      </x:c>
      <x:c r="L59" s="24" t="str">
        <x:f>IF(AND(I59="Delivered",F59&lt;=40),"On-Time",IF(I59="Cancelled","Cancelled","Review"))</x:f>
        <x:v>On-Time</x:v>
      </x:c>
    </x:row>
    <x:row r="60">
      <x:c r="A60" s="24" t="str">
        <x:v>CAP-0057</x:v>
      </x:c>
      <x:c r="B60" s="24" t="str">
        <x:v>CR009</x:v>
      </x:c>
      <x:c r="C60" s="24" t="str">
        <x:v>Italian</x:v>
      </x:c>
      <x:c r="D60" s="24" t="str">
        <x:v>West</x:v>
      </x:c>
      <x:c r="E60" s="20" t="n">
        <x:v>46166</x:v>
      </x:c>
      <x:c r="F60" s="24" t="n">
        <x:v>43</x:v>
      </x:c>
      <x:c r="G60" s="24" t="n">
        <x:v>4.5</x:v>
      </x:c>
      <x:c r="H60" s="22" t="n">
        <x:v>565.17</x:v>
      </x:c>
      <x:c r="I60" s="24" t="str">
        <x:v>Delivered</x:v>
      </x:c>
      <x:c r="J60" s="24" t="str">
        <x:f>XLOOKUP(B60,Restaurants!$A$4:$A$18,Restaurants!$B$4:$B$18,"Unknown")</x:f>
        <x:v>Noodle Nest</x:v>
      </x:c>
      <x:c r="K60" s="24" t="str">
        <x:f>XLOOKUP(B60,Restaurants!$A$4:$A$18,Restaurants!$D$4:$D$18,"Unknown")</x:f>
        <x:v>QSR</x:v>
      </x:c>
      <x:c r="L60" s="24" t="str">
        <x:f>IF(AND(I60="Delivered",F60&lt;=40),"On-Time",IF(I60="Cancelled","Cancelled","Review"))</x:f>
        <x:v>Review</x:v>
      </x:c>
    </x:row>
    <x:row r="61">
      <x:c r="A61" s="24" t="str">
        <x:v>CAP-0058</x:v>
      </x:c>
      <x:c r="B61" s="24" t="str">
        <x:v>CR011</x:v>
      </x:c>
      <x:c r="C61" s="24" t="str">
        <x:v>North Indian</x:v>
      </x:c>
      <x:c r="D61" s="24" t="str">
        <x:v>North</x:v>
      </x:c>
      <x:c r="E61" s="20" t="n">
        <x:v>46170</x:v>
      </x:c>
      <x:c r="F61" s="24" t="n">
        <x:v>71</x:v>
      </x:c>
      <x:c r="G61" s="24" t="n">
        <x:v>4</x:v>
      </x:c>
      <x:c r="H61" s="22" t="n">
        <x:v>545.25</x:v>
      </x:c>
      <x:c r="I61" s="24" t="str">
        <x:v>Cancelled</x:v>
      </x:c>
      <x:c r="J61" s="24" t="str">
        <x:f>XLOOKUP(B61,Restaurants!$A$4:$A$18,Restaurants!$B$4:$B$18,"Unknown")</x:f>
        <x:v>Kebab Kingdom</x:v>
      </x:c>
      <x:c r="K61" s="24" t="str">
        <x:f>XLOOKUP(B61,Restaurants!$A$4:$A$18,Restaurants!$D$4:$D$18,"Unknown")</x:f>
        <x:v>Dine-in</x:v>
      </x:c>
      <x:c r="L61" s="24" t="str">
        <x:f>IF(AND(I61="Delivered",F61&lt;=40),"On-Time",IF(I61="Cancelled","Cancelled","Review"))</x:f>
        <x:v>Cancelled</x:v>
      </x:c>
    </x:row>
    <x:row r="62">
      <x:c r="A62" s="24" t="str">
        <x:v>CAP-0059</x:v>
      </x:c>
      <x:c r="B62" s="24" t="str">
        <x:v>CR005</x:v>
      </x:c>
      <x:c r="C62" s="24" t="str">
        <x:v>Italian</x:v>
      </x:c>
      <x:c r="D62" s="24" t="str">
        <x:v>Central</x:v>
      </x:c>
      <x:c r="E62" s="20" t="n">
        <x:v>46199</x:v>
      </x:c>
      <x:c r="F62" s="24" t="n">
        <x:v>42</x:v>
      </x:c>
      <x:c r="G62" s="24" t="n">
        <x:v>4.3</x:v>
      </x:c>
      <x:c r="H62" s="22" t="n">
        <x:v>1497.21</x:v>
      </x:c>
      <x:c r="I62" s="24" t="str">
        <x:v>Delivered</x:v>
      </x:c>
      <x:c r="J62" s="24" t="str">
        <x:f>XLOOKUP(B62,Restaurants!$A$4:$A$18,Restaurants!$B$4:$B$18,"Unknown")</x:f>
        <x:v>Biryani Bay</x:v>
      </x:c>
      <x:c r="K62" s="24" t="str">
        <x:f>XLOOKUP(B62,Restaurants!$A$4:$A$18,Restaurants!$D$4:$D$18,"Unknown")</x:f>
        <x:v>Dine-in</x:v>
      </x:c>
      <x:c r="L62" s="24" t="str">
        <x:f>IF(AND(I62="Delivered",F62&lt;=40),"On-Time",IF(I62="Cancelled","Cancelled","Review"))</x:f>
        <x:v>Review</x:v>
      </x:c>
    </x:row>
    <x:row r="63">
      <x:c r="A63" s="24" t="str">
        <x:v>CAP-0060</x:v>
      </x:c>
      <x:c r="B63" s="24" t="str">
        <x:v>CR010</x:v>
      </x:c>
      <x:c r="C63" s="24" t="str">
        <x:v>South Indian</x:v>
      </x:c>
      <x:c r="D63" s="24" t="str">
        <x:v>Central</x:v>
      </x:c>
      <x:c r="E63" s="20" t="n">
        <x:v>46174</x:v>
      </x:c>
      <x:c r="F63" s="24" t="n">
        <x:v>46</x:v>
      </x:c>
      <x:c r="G63" s="24" t="n">
        <x:v>3.9</x:v>
      </x:c>
      <x:c r="H63" s="22" t="n">
        <x:v>1658.94</x:v>
      </x:c>
      <x:c r="I63" s="24" t="str">
        <x:v>Delivered</x:v>
      </x:c>
      <x:c r="J63" s="24" t="str">
        <x:f>XLOOKUP(B63,Restaurants!$A$4:$A$18,Restaurants!$B$4:$B$18,"Unknown")</x:f>
        <x:v>Pizza Point</x:v>
      </x:c>
      <x:c r="K63" s="24" t="str">
        <x:f>XLOOKUP(B63,Restaurants!$A$4:$A$18,Restaurants!$D$4:$D$18,"Unknown")</x:f>
        <x:v>Cloud Kitchen</x:v>
      </x:c>
      <x:c r="L63" s="24" t="str">
        <x:f>IF(AND(I63="Delivered",F63&lt;=40),"On-Time",IF(I63="Cancelled","Cancelled","Review"))</x:f>
        <x:v>Review</x:v>
      </x:c>
    </x:row>
    <x:row r="64">
      <x:c r="A64" s="24" t="str">
        <x:v>CAP-0061</x:v>
      </x:c>
      <x:c r="B64" s="24" t="str">
        <x:v>CR004</x:v>
      </x:c>
      <x:c r="C64" s="24" t="str">
        <x:v>South Indian</x:v>
      </x:c>
      <x:c r="D64" s="24" t="str">
        <x:v>West</x:v>
      </x:c>
      <x:c r="E64" s="20" t="n">
        <x:v>46128</x:v>
      </x:c>
      <x:c r="F64" s="24" t="n">
        <x:v>38</x:v>
      </x:c>
      <x:c r="G64" s="24" t="n">
        <x:v>3</x:v>
      </x:c>
      <x:c r="H64" s="22" t="n">
        <x:v>1328.22</x:v>
      </x:c>
      <x:c r="I64" s="24" t="str">
        <x:v>Delivered</x:v>
      </x:c>
      <x:c r="J64" s="24" t="str">
        <x:f>XLOOKUP(B64,Restaurants!$A$4:$A$18,Restaurants!$B$4:$B$18,"Unknown")</x:f>
        <x:v>Pasta Plaza</x:v>
      </x:c>
      <x:c r="K64" s="24" t="str">
        <x:f>XLOOKUP(B64,Restaurants!$A$4:$A$18,Restaurants!$D$4:$D$18,"Unknown")</x:f>
        <x:v>Cloud Kitchen</x:v>
      </x:c>
      <x:c r="L64" s="24" t="str">
        <x:f>IF(AND(I64="Delivered",F64&lt;=40),"On-Time",IF(I64="Cancelled","Cancelled","Review"))</x:f>
        <x:v>On-Time</x:v>
      </x:c>
    </x:row>
    <x:row r="65">
      <x:c r="A65" s="24" t="str">
        <x:v>CAP-0062</x:v>
      </x:c>
      <x:c r="B65" s="24" t="str">
        <x:v>CR012</x:v>
      </x:c>
      <x:c r="C65" s="24" t="str">
        <x:v>South Indian</x:v>
      </x:c>
      <x:c r="D65" s="24" t="str">
        <x:v>South</x:v>
      </x:c>
      <x:c r="E65" s="20" t="n">
        <x:v>46163</x:v>
      </x:c>
      <x:c r="F65" s="24" t="n">
        <x:v>35</x:v>
      </x:c>
      <x:c r="G65" s="24" t="n">
        <x:v>3.2</x:v>
      </x:c>
      <x:c r="H65" s="22" t="n">
        <x:v>840.03</x:v>
      </x:c>
      <x:c r="I65" s="24" t="str">
        <x:v>Delayed</x:v>
      </x:c>
      <x:c r="J65" s="24" t="str">
        <x:f>XLOOKUP(B65,Restaurants!$A$4:$A$18,Restaurants!$B$4:$B$18,"Unknown")</x:f>
        <x:v>Sushi Street</x:v>
      </x:c>
      <x:c r="K65" s="24" t="str">
        <x:f>XLOOKUP(B65,Restaurants!$A$4:$A$18,Restaurants!$D$4:$D$18,"Unknown")</x:f>
        <x:v>QSR</x:v>
      </x:c>
      <x:c r="L65" s="24" t="str">
        <x:f>IF(AND(I65="Delivered",F65&lt;=40),"On-Time",IF(I65="Cancelled","Cancelled","Review"))</x:f>
        <x:v>Review</x:v>
      </x:c>
    </x:row>
    <x:row r="66">
      <x:c r="A66" s="24" t="str">
        <x:v>CAP-0063</x:v>
      </x:c>
      <x:c r="B66" s="24" t="str">
        <x:v>CR009</x:v>
      </x:c>
      <x:c r="C66" s="24" t="str">
        <x:v>Chinese</x:v>
      </x:c>
      <x:c r="D66" s="24" t="str">
        <x:v>West</x:v>
      </x:c>
      <x:c r="E66" s="20" t="n">
        <x:v>46152</x:v>
      </x:c>
      <x:c r="F66" s="24" t="n">
        <x:v>23</x:v>
      </x:c>
      <x:c r="G66" s="24" t="n">
        <x:v>4.1</x:v>
      </x:c>
      <x:c r="H66" s="22" t="n">
        <x:v>402.84</x:v>
      </x:c>
      <x:c r="I66" s="24" t="str">
        <x:v>Delivered</x:v>
      </x:c>
      <x:c r="J66" s="24" t="str">
        <x:f>XLOOKUP(B66,Restaurants!$A$4:$A$18,Restaurants!$B$4:$B$18,"Unknown")</x:f>
        <x:v>Noodle Nest</x:v>
      </x:c>
      <x:c r="K66" s="24" t="str">
        <x:f>XLOOKUP(B66,Restaurants!$A$4:$A$18,Restaurants!$D$4:$D$18,"Unknown")</x:f>
        <x:v>QSR</x:v>
      </x:c>
      <x:c r="L66" s="24" t="str">
        <x:f>IF(AND(I66="Delivered",F66&lt;=40),"On-Time",IF(I66="Cancelled","Cancelled","Review"))</x:f>
        <x:v>On-Time</x:v>
      </x:c>
    </x:row>
    <x:row r="67">
      <x:c r="A67" s="24" t="str">
        <x:v>CAP-0064</x:v>
      </x:c>
      <x:c r="B67" s="24" t="str">
        <x:v>CR012</x:v>
      </x:c>
      <x:c r="C67" s="24" t="str">
        <x:v>Italian</x:v>
      </x:c>
      <x:c r="D67" s="24" t="str">
        <x:v>South</x:v>
      </x:c>
      <x:c r="E67" s="20" t="n">
        <x:v>46153</x:v>
      </x:c>
      <x:c r="F67" s="24" t="n">
        <x:v>46</x:v>
      </x:c>
      <x:c r="G67" s="24" t="n">
        <x:v>3.9</x:v>
      </x:c>
      <x:c r="H67" s="22" t="n">
        <x:v>1121.91</x:v>
      </x:c>
      <x:c r="I67" s="24" t="str">
        <x:v>Delayed</x:v>
      </x:c>
      <x:c r="J67" s="24" t="str">
        <x:f>XLOOKUP(B67,Restaurants!$A$4:$A$18,Restaurants!$B$4:$B$18,"Unknown")</x:f>
        <x:v>Sushi Street</x:v>
      </x:c>
      <x:c r="K67" s="24" t="str">
        <x:f>XLOOKUP(B67,Restaurants!$A$4:$A$18,Restaurants!$D$4:$D$18,"Unknown")</x:f>
        <x:v>QSR</x:v>
      </x:c>
      <x:c r="L67" s="24" t="str">
        <x:f>IF(AND(I67="Delivered",F67&lt;=40),"On-Time",IF(I67="Cancelled","Cancelled","Review"))</x:f>
        <x:v>Review</x:v>
      </x:c>
    </x:row>
    <x:row r="68">
      <x:c r="A68" s="24" t="str">
        <x:v>CAP-0065</x:v>
      </x:c>
      <x:c r="B68" s="24" t="str">
        <x:v>CR004</x:v>
      </x:c>
      <x:c r="C68" s="24" t="str">
        <x:v>South Indian</x:v>
      </x:c>
      <x:c r="D68" s="24" t="str">
        <x:v>West</x:v>
      </x:c>
      <x:c r="E68" s="20" t="n">
        <x:v>46115</x:v>
      </x:c>
      <x:c r="F68" s="24" t="n">
        <x:v>52</x:v>
      </x:c>
      <x:c r="G68" s="24" t="n">
        <x:v>3.9</x:v>
      </x:c>
      <x:c r="H68" s="22" t="n">
        <x:v>897.25</x:v>
      </x:c>
      <x:c r="I68" s="24" t="str">
        <x:v>Delivered</x:v>
      </x:c>
      <x:c r="J68" s="24" t="str">
        <x:f>XLOOKUP(B68,Restaurants!$A$4:$A$18,Restaurants!$B$4:$B$18,"Unknown")</x:f>
        <x:v>Pasta Plaza</x:v>
      </x:c>
      <x:c r="K68" s="24" t="str">
        <x:f>XLOOKUP(B68,Restaurants!$A$4:$A$18,Restaurants!$D$4:$D$18,"Unknown")</x:f>
        <x:v>Cloud Kitchen</x:v>
      </x:c>
      <x:c r="L68" s="24" t="str">
        <x:f>IF(AND(I68="Delivered",F68&lt;=40),"On-Time",IF(I68="Cancelled","Cancelled","Review"))</x:f>
        <x:v>Review</x:v>
      </x:c>
    </x:row>
    <x:row r="69">
      <x:c r="A69" s="24" t="str">
        <x:v>CAP-0066</x:v>
      </x:c>
      <x:c r="B69" s="24" t="str">
        <x:v>CR003</x:v>
      </x:c>
      <x:c r="C69" s="24" t="str">
        <x:v>South Indian</x:v>
      </x:c>
      <x:c r="D69" s="24" t="str">
        <x:v>East</x:v>
      </x:c>
      <x:c r="E69" s="20" t="n">
        <x:v>46155</x:v>
      </x:c>
      <x:c r="F69" s="24" t="n">
        <x:v>29</x:v>
      </x:c>
      <x:c r="G69" s="24" t="n">
        <x:v>4</x:v>
      </x:c>
      <x:c r="H69" s="22" t="n">
        <x:v>1103.5</x:v>
      </x:c>
      <x:c r="I69" s="24" t="str">
        <x:v>Delivered</x:v>
      </x:c>
      <x:c r="J69" s="24" t="str">
        <x:f>XLOOKUP(B69,Restaurants!$A$4:$A$18,Restaurants!$B$4:$B$18,"Unknown")</x:f>
        <x:v>Wok Works</x:v>
      </x:c>
      <x:c r="K69" s="24" t="str">
        <x:f>XLOOKUP(B69,Restaurants!$A$4:$A$18,Restaurants!$D$4:$D$18,"Unknown")</x:f>
        <x:v>QSR</x:v>
      </x:c>
      <x:c r="L69" s="24" t="str">
        <x:f>IF(AND(I69="Delivered",F69&lt;=40),"On-Time",IF(I69="Cancelled","Cancelled","Review"))</x:f>
        <x:v>On-Time</x:v>
      </x:c>
    </x:row>
    <x:row r="70">
      <x:c r="A70" s="24" t="str">
        <x:v>CAP-0067</x:v>
      </x:c>
      <x:c r="B70" s="24" t="str">
        <x:v>CR011</x:v>
      </x:c>
      <x:c r="C70" s="24" t="str">
        <x:v>Chinese</x:v>
      </x:c>
      <x:c r="D70" s="24" t="str">
        <x:v>North</x:v>
      </x:c>
      <x:c r="E70" s="20" t="n">
        <x:v>46145</x:v>
      </x:c>
      <x:c r="F70" s="24" t="n">
        <x:v>18</x:v>
      </x:c>
      <x:c r="G70" s="24" t="n">
        <x:v>4.3</x:v>
      </x:c>
      <x:c r="H70" s="22" t="n">
        <x:v>1396.37</x:v>
      </x:c>
      <x:c r="I70" s="24" t="str">
        <x:v>Delivered</x:v>
      </x:c>
      <x:c r="J70" s="24" t="str">
        <x:f>XLOOKUP(B70,Restaurants!$A$4:$A$18,Restaurants!$B$4:$B$18,"Unknown")</x:f>
        <x:v>Kebab Kingdom</x:v>
      </x:c>
      <x:c r="K70" s="24" t="str">
        <x:f>XLOOKUP(B70,Restaurants!$A$4:$A$18,Restaurants!$D$4:$D$18,"Unknown")</x:f>
        <x:v>Dine-in</x:v>
      </x:c>
      <x:c r="L70" s="24" t="str">
        <x:f>IF(AND(I70="Delivered",F70&lt;=40),"On-Time",IF(I70="Cancelled","Cancelled","Review"))</x:f>
        <x:v>On-Time</x:v>
      </x:c>
    </x:row>
    <x:row r="71">
      <x:c r="A71" s="24" t="str">
        <x:v>CAP-0068</x:v>
      </x:c>
      <x:c r="B71" s="24" t="str">
        <x:v>CR008</x:v>
      </x:c>
      <x:c r="C71" s="24" t="str">
        <x:v>South Indian</x:v>
      </x:c>
      <x:c r="D71" s="24" t="str">
        <x:v>East</x:v>
      </x:c>
      <x:c r="E71" s="20" t="n">
        <x:v>46158</x:v>
      </x:c>
      <x:c r="F71" s="24" t="n">
        <x:v>35</x:v>
      </x:c>
      <x:c r="G71" s="24" t="n">
        <x:v>3.6</x:v>
      </x:c>
      <x:c r="H71" s="22" t="n">
        <x:v>1671.19</x:v>
      </x:c>
      <x:c r="I71" s="24" t="str">
        <x:v>Delivered</x:v>
      </x:c>
      <x:c r="J71" s="24" t="str">
        <x:f>XLOOKUP(B71,Restaurants!$A$4:$A$18,Restaurants!$B$4:$B$18,"Unknown")</x:f>
        <x:v>Idli House</x:v>
      </x:c>
      <x:c r="K71" s="24" t="str">
        <x:f>XLOOKUP(B71,Restaurants!$A$4:$A$18,Restaurants!$D$4:$D$18,"Unknown")</x:f>
        <x:v>Dine-in</x:v>
      </x:c>
      <x:c r="L71" s="24" t="str">
        <x:f>IF(AND(I71="Delivered",F71&lt;=40),"On-Time",IF(I71="Cancelled","Cancelled","Review"))</x:f>
        <x:v>On-Time</x:v>
      </x:c>
    </x:row>
    <x:row r="72">
      <x:c r="A72" s="24" t="str">
        <x:v>CAP-0069</x:v>
      </x:c>
      <x:c r="B72" s="24" t="str">
        <x:v>CR009</x:v>
      </x:c>
      <x:c r="C72" s="24" t="str">
        <x:v>North Indian</x:v>
      </x:c>
      <x:c r="D72" s="24" t="str">
        <x:v>West</x:v>
      </x:c>
      <x:c r="E72" s="20" t="n">
        <x:v>46180</x:v>
      </x:c>
      <x:c r="F72" s="24" t="n">
        <x:v>54</x:v>
      </x:c>
      <x:c r="G72" s="24" t="n">
        <x:v>3.1</x:v>
      </x:c>
      <x:c r="H72" s="22" t="n">
        <x:v>1285.73</x:v>
      </x:c>
      <x:c r="I72" s="24" t="str">
        <x:v>Delivered</x:v>
      </x:c>
      <x:c r="J72" s="24" t="str">
        <x:f>XLOOKUP(B72,Restaurants!$A$4:$A$18,Restaurants!$B$4:$B$18,"Unknown")</x:f>
        <x:v>Noodle Nest</x:v>
      </x:c>
      <x:c r="K72" s="24" t="str">
        <x:f>XLOOKUP(B72,Restaurants!$A$4:$A$18,Restaurants!$D$4:$D$18,"Unknown")</x:f>
        <x:v>QSR</x:v>
      </x:c>
      <x:c r="L72" s="24" t="str">
        <x:f>IF(AND(I72="Delivered",F72&lt;=40),"On-Time",IF(I72="Cancelled","Cancelled","Review"))</x:f>
        <x:v>Review</x:v>
      </x:c>
    </x:row>
    <x:row r="73">
      <x:c r="A73" s="24" t="str">
        <x:v>CAP-0070</x:v>
      </x:c>
      <x:c r="B73" s="24" t="str">
        <x:v>CR013</x:v>
      </x:c>
      <x:c r="C73" s="24" t="str">
        <x:v>North Indian</x:v>
      </x:c>
      <x:c r="D73" s="24" t="str">
        <x:v>East</x:v>
      </x:c>
      <x:c r="E73" s="20" t="n">
        <x:v>46165</x:v>
      </x:c>
      <x:c r="F73" s="24" t="n">
        <x:v>34</x:v>
      </x:c>
      <x:c r="G73" s="24" t="n">
        <x:v>4</x:v>
      </x:c>
      <x:c r="H73" s="22" t="n">
        <x:v>484.1</x:v>
      </x:c>
      <x:c r="I73" s="24" t="str">
        <x:v>Delivered</x:v>
      </x:c>
      <x:c r="J73" s="24" t="str">
        <x:f>XLOOKUP(B73,Restaurants!$A$4:$A$18,Restaurants!$B$4:$B$18,"Unknown")</x:f>
        <x:v>Thali Trails</x:v>
      </x:c>
      <x:c r="K73" s="24" t="str">
        <x:f>XLOOKUP(B73,Restaurants!$A$4:$A$18,Restaurants!$D$4:$D$18,"Unknown")</x:f>
        <x:v>Cloud Kitchen</x:v>
      </x:c>
      <x:c r="L73" s="24" t="str">
        <x:f>IF(AND(I73="Delivered",F73&lt;=40),"On-Time",IF(I73="Cancelled","Cancelled","Review"))</x:f>
        <x:v>On-Time</x:v>
      </x:c>
    </x:row>
    <x:row r="74">
      <x:c r="A74" s="24" t="str">
        <x:v>CAP-0071</x:v>
      </x:c>
      <x:c r="B74" s="24" t="str">
        <x:v>CR004</x:v>
      </x:c>
      <x:c r="C74" s="24" t="str">
        <x:v>Italian</x:v>
      </x:c>
      <x:c r="D74" s="24" t="str">
        <x:v>West</x:v>
      </x:c>
      <x:c r="E74" s="20" t="n">
        <x:v>46160</x:v>
      </x:c>
      <x:c r="F74" s="24" t="n">
        <x:v>19</x:v>
      </x:c>
      <x:c r="G74" s="24" t="n">
        <x:v>3.2</x:v>
      </x:c>
      <x:c r="H74" s="22" t="n">
        <x:v>1664.76</x:v>
      </x:c>
      <x:c r="I74" s="24" t="str">
        <x:v>Delivered</x:v>
      </x:c>
      <x:c r="J74" s="24" t="str">
        <x:f>XLOOKUP(B74,Restaurants!$A$4:$A$18,Restaurants!$B$4:$B$18,"Unknown")</x:f>
        <x:v>Pasta Plaza</x:v>
      </x:c>
      <x:c r="K74" s="24" t="str">
        <x:f>XLOOKUP(B74,Restaurants!$A$4:$A$18,Restaurants!$D$4:$D$18,"Unknown")</x:f>
        <x:v>Cloud Kitchen</x:v>
      </x:c>
      <x:c r="L74" s="24" t="str">
        <x:f>IF(AND(I74="Delivered",F74&lt;=40),"On-Time",IF(I74="Cancelled","Cancelled","Review"))</x:f>
        <x:v>On-Time</x:v>
      </x:c>
    </x:row>
    <x:row r="75">
      <x:c r="A75" s="24" t="str">
        <x:v>CAP-0072</x:v>
      </x:c>
      <x:c r="B75" s="24" t="str">
        <x:v>CR011</x:v>
      </x:c>
      <x:c r="C75" s="24" t="str">
        <x:v>Italian</x:v>
      </x:c>
      <x:c r="D75" s="24" t="str">
        <x:v>North</x:v>
      </x:c>
      <x:c r="E75" s="20" t="n">
        <x:v>46115</x:v>
      </x:c>
      <x:c r="F75" s="24" t="n">
        <x:v>36</x:v>
      </x:c>
      <x:c r="G75" s="24" t="n">
        <x:v>4.2</x:v>
      </x:c>
      <x:c r="H75" s="22" t="n">
        <x:v>1070.6</x:v>
      </x:c>
      <x:c r="I75" s="24" t="str">
        <x:v>Delivered</x:v>
      </x:c>
      <x:c r="J75" s="24" t="str">
        <x:f>XLOOKUP(B75,Restaurants!$A$4:$A$18,Restaurants!$B$4:$B$18,"Unknown")</x:f>
        <x:v>Kebab Kingdom</x:v>
      </x:c>
      <x:c r="K75" s="24" t="str">
        <x:f>XLOOKUP(B75,Restaurants!$A$4:$A$18,Restaurants!$D$4:$D$18,"Unknown")</x:f>
        <x:v>Dine-in</x:v>
      </x:c>
      <x:c r="L75" s="24" t="str">
        <x:f>IF(AND(I75="Delivered",F75&lt;=40),"On-Time",IF(I75="Cancelled","Cancelled","Review"))</x:f>
        <x:v>On-Time</x:v>
      </x:c>
    </x:row>
    <x:row r="76">
      <x:c r="A76" s="24" t="str">
        <x:v>CAP-0073</x:v>
      </x:c>
      <x:c r="B76" s="24" t="str">
        <x:v>CR005</x:v>
      </x:c>
      <x:c r="C76" s="24" t="str">
        <x:v>Chinese</x:v>
      </x:c>
      <x:c r="D76" s="24" t="str">
        <x:v>Central</x:v>
      </x:c>
      <x:c r="E76" s="20" t="n">
        <x:v>46115</x:v>
      </x:c>
      <x:c r="F76" s="24" t="n">
        <x:v>33</x:v>
      </x:c>
      <x:c r="G76" s="24" t="n">
        <x:v>3.6</x:v>
      </x:c>
      <x:c r="H76" s="22" t="n">
        <x:v>1706.55</x:v>
      </x:c>
      <x:c r="I76" s="24" t="str">
        <x:v>Delivered</x:v>
      </x:c>
      <x:c r="J76" s="24" t="str">
        <x:f>XLOOKUP(B76,Restaurants!$A$4:$A$18,Restaurants!$B$4:$B$18,"Unknown")</x:f>
        <x:v>Biryani Bay</x:v>
      </x:c>
      <x:c r="K76" s="24" t="str">
        <x:f>XLOOKUP(B76,Restaurants!$A$4:$A$18,Restaurants!$D$4:$D$18,"Unknown")</x:f>
        <x:v>Dine-in</x:v>
      </x:c>
      <x:c r="L76" s="24" t="str">
        <x:f>IF(AND(I76="Delivered",F76&lt;=40),"On-Time",IF(I76="Cancelled","Cancelled","Review"))</x:f>
        <x:v>On-Time</x:v>
      </x:c>
    </x:row>
    <x:row r="77">
      <x:c r="A77" s="24" t="str">
        <x:v>CAP-0074</x:v>
      </x:c>
      <x:c r="B77" s="24" t="str">
        <x:v>CR003</x:v>
      </x:c>
      <x:c r="C77" s="24" t="str">
        <x:v>North Indian</x:v>
      </x:c>
      <x:c r="D77" s="24" t="str">
        <x:v>East</x:v>
      </x:c>
      <x:c r="E77" s="20" t="n">
        <x:v>46125</x:v>
      </x:c>
      <x:c r="F77" s="24" t="n">
        <x:v>38</x:v>
      </x:c>
      <x:c r="G77" s="24" t="n">
        <x:v>5</x:v>
      </x:c>
      <x:c r="H77" s="22" t="n">
        <x:v>641.25</x:v>
      </x:c>
      <x:c r="I77" s="24" t="str">
        <x:v>Delivered</x:v>
      </x:c>
      <x:c r="J77" s="24" t="str">
        <x:f>XLOOKUP(B77,Restaurants!$A$4:$A$18,Restaurants!$B$4:$B$18,"Unknown")</x:f>
        <x:v>Wok Works</x:v>
      </x:c>
      <x:c r="K77" s="24" t="str">
        <x:f>XLOOKUP(B77,Restaurants!$A$4:$A$18,Restaurants!$D$4:$D$18,"Unknown")</x:f>
        <x:v>QSR</x:v>
      </x:c>
      <x:c r="L77" s="24" t="str">
        <x:f>IF(AND(I77="Delivered",F77&lt;=40),"On-Time",IF(I77="Cancelled","Cancelled","Review"))</x:f>
        <x:v>On-Time</x:v>
      </x:c>
    </x:row>
    <x:row r="78">
      <x:c r="A78" s="24" t="str">
        <x:v>CAP-0075</x:v>
      </x:c>
      <x:c r="B78" s="24" t="str">
        <x:v>CR006</x:v>
      </x:c>
      <x:c r="C78" s="24" t="str">
        <x:v>Chinese</x:v>
      </x:c>
      <x:c r="D78" s="24" t="str">
        <x:v>North</x:v>
      </x:c>
      <x:c r="E78" s="20" t="n">
        <x:v>46163</x:v>
      </x:c>
      <x:c r="F78" s="24" t="n">
        <x:v>50</x:v>
      </x:c>
      <x:c r="G78" s="24" t="n">
        <x:v>4</x:v>
      </x:c>
      <x:c r="H78" s="22" t="n">
        <x:v>626.97</x:v>
      </x:c>
      <x:c r="I78" s="24" t="str">
        <x:v>Delivered</x:v>
      </x:c>
      <x:c r="J78" s="24" t="str">
        <x:f>XLOOKUP(B78,Restaurants!$A$4:$A$18,Restaurants!$B$4:$B$18,"Unknown")</x:f>
        <x:v>Tandoor Town</x:v>
      </x:c>
      <x:c r="K78" s="24" t="str">
        <x:f>XLOOKUP(B78,Restaurants!$A$4:$A$18,Restaurants!$D$4:$D$18,"Unknown")</x:f>
        <x:v>QSR</x:v>
      </x:c>
      <x:c r="L78" s="24" t="str">
        <x:f>IF(AND(I78="Delivered",F78&lt;=40),"On-Time",IF(I78="Cancelled","Cancelled","Review"))</x:f>
        <x:v>Review</x:v>
      </x:c>
    </x:row>
    <x:row r="79">
      <x:c r="A79" s="24" t="str">
        <x:v>CAP-0076</x:v>
      </x:c>
      <x:c r="B79" s="24" t="str">
        <x:v>CR012</x:v>
      </x:c>
      <x:c r="C79" s="24" t="str">
        <x:v>South Indian</x:v>
      </x:c>
      <x:c r="D79" s="24" t="str">
        <x:v>South</x:v>
      </x:c>
      <x:c r="E79" s="20" t="n">
        <x:v>46151</x:v>
      </x:c>
      <x:c r="F79" s="24" t="n">
        <x:v>48</x:v>
      </x:c>
      <x:c r="G79" s="24" t="n">
        <x:v>3.5</x:v>
      </x:c>
      <x:c r="H79" s="22" t="n">
        <x:v>1580.24</x:v>
      </x:c>
      <x:c r="I79" s="24" t="str">
        <x:v>Delivered</x:v>
      </x:c>
      <x:c r="J79" s="24" t="str">
        <x:f>XLOOKUP(B79,Restaurants!$A$4:$A$18,Restaurants!$B$4:$B$18,"Unknown")</x:f>
        <x:v>Sushi Street</x:v>
      </x:c>
      <x:c r="K79" s="24" t="str">
        <x:f>XLOOKUP(B79,Restaurants!$A$4:$A$18,Restaurants!$D$4:$D$18,"Unknown")</x:f>
        <x:v>QSR</x:v>
      </x:c>
      <x:c r="L79" s="24" t="str">
        <x:f>IF(AND(I79="Delivered",F79&lt;=40),"On-Time",IF(I79="Cancelled","Cancelled","Review"))</x:f>
        <x:v>Review</x:v>
      </x:c>
    </x:row>
    <x:row r="80">
      <x:c r="A80" s="24" t="str">
        <x:v>CAP-0077</x:v>
      </x:c>
      <x:c r="B80" s="24" t="str">
        <x:v>CR013</x:v>
      </x:c>
      <x:c r="C80" s="24" t="str">
        <x:v>North Indian</x:v>
      </x:c>
      <x:c r="D80" s="24" t="str">
        <x:v>East</x:v>
      </x:c>
      <x:c r="E80" s="20" t="n">
        <x:v>46124</x:v>
      </x:c>
      <x:c r="F80" s="24" t="n">
        <x:v>28</x:v>
      </x:c>
      <x:c r="G80" s="24" t="n">
        <x:v>4.6</x:v>
      </x:c>
      <x:c r="H80" s="22" t="n">
        <x:v>1236.96</x:v>
      </x:c>
      <x:c r="I80" s="24" t="str">
        <x:v>Delivered</x:v>
      </x:c>
      <x:c r="J80" s="24" t="str">
        <x:f>XLOOKUP(B80,Restaurants!$A$4:$A$18,Restaurants!$B$4:$B$18,"Unknown")</x:f>
        <x:v>Thali Trails</x:v>
      </x:c>
      <x:c r="K80" s="24" t="str">
        <x:f>XLOOKUP(B80,Restaurants!$A$4:$A$18,Restaurants!$D$4:$D$18,"Unknown")</x:f>
        <x:v>Cloud Kitchen</x:v>
      </x:c>
      <x:c r="L80" s="24" t="str">
        <x:f>IF(AND(I80="Delivered",F80&lt;=40),"On-Time",IF(I80="Cancelled","Cancelled","Review"))</x:f>
        <x:v>On-Time</x:v>
      </x:c>
    </x:row>
    <x:row r="81">
      <x:c r="A81" s="24" t="str">
        <x:v>CAP-0078</x:v>
      </x:c>
      <x:c r="B81" s="24" t="str">
        <x:v>CR012</x:v>
      </x:c>
      <x:c r="C81" s="24" t="str">
        <x:v>South Indian</x:v>
      </x:c>
      <x:c r="D81" s="24" t="str">
        <x:v>South</x:v>
      </x:c>
      <x:c r="E81" s="20" t="n">
        <x:v>46123</x:v>
      </x:c>
      <x:c r="F81" s="24" t="n">
        <x:v>18</x:v>
      </x:c>
      <x:c r="G81" s="24" t="n">
        <x:v>4.6</x:v>
      </x:c>
      <x:c r="H81" s="22" t="n">
        <x:v>1127.08</x:v>
      </x:c>
      <x:c r="I81" s="24" t="str">
        <x:v>Delivered</x:v>
      </x:c>
      <x:c r="J81" s="24" t="str">
        <x:f>XLOOKUP(B81,Restaurants!$A$4:$A$18,Restaurants!$B$4:$B$18,"Unknown")</x:f>
        <x:v>Sushi Street</x:v>
      </x:c>
      <x:c r="K81" s="24" t="str">
        <x:f>XLOOKUP(B81,Restaurants!$A$4:$A$18,Restaurants!$D$4:$D$18,"Unknown")</x:f>
        <x:v>QSR</x:v>
      </x:c>
      <x:c r="L81" s="24" t="str">
        <x:f>IF(AND(I81="Delivered",F81&lt;=40),"On-Time",IF(I81="Cancelled","Cancelled","Review"))</x:f>
        <x:v>On-Time</x:v>
      </x:c>
    </x:row>
    <x:row r="82">
      <x:c r="A82" s="24" t="str">
        <x:v>CAP-0079</x:v>
      </x:c>
      <x:c r="B82" s="24" t="str">
        <x:v>CR014</x:v>
      </x:c>
      <x:c r="C82" s="24" t="str">
        <x:v>North Indian</x:v>
      </x:c>
      <x:c r="D82" s="24" t="str">
        <x:v>West</x:v>
      </x:c>
      <x:c r="E82" s="20" t="n">
        <x:v>46180</x:v>
      </x:c>
      <x:c r="F82" s="24" t="n">
        <x:v>58</x:v>
      </x:c>
      <x:c r="G82" s="24" t="n">
        <x:v>4.7</x:v>
      </x:c>
      <x:c r="H82" s="22" t="n">
        <x:v>1323.05</x:v>
      </x:c>
      <x:c r="I82" s="24" t="str">
        <x:v>Delayed</x:v>
      </x:c>
      <x:c r="J82" s="24" t="str">
        <x:f>XLOOKUP(B82,Restaurants!$A$4:$A$18,Restaurants!$B$4:$B$18,"Unknown")</x:f>
        <x:v>Burger Barn</x:v>
      </x:c>
      <x:c r="K82" s="24" t="str">
        <x:f>XLOOKUP(B82,Restaurants!$A$4:$A$18,Restaurants!$D$4:$D$18,"Unknown")</x:f>
        <x:v>Dine-in</x:v>
      </x:c>
      <x:c r="L82" s="24" t="str">
        <x:f>IF(AND(I82="Delivered",F82&lt;=40),"On-Time",IF(I82="Cancelled","Cancelled","Review"))</x:f>
        <x:v>Review</x:v>
      </x:c>
    </x:row>
    <x:row r="83">
      <x:c r="A83" s="24" t="str">
        <x:v>CAP-0080</x:v>
      </x:c>
      <x:c r="B83" s="24" t="str">
        <x:v>CR010</x:v>
      </x:c>
      <x:c r="C83" s="24" t="str">
        <x:v>Italian</x:v>
      </x:c>
      <x:c r="D83" s="24" t="str">
        <x:v>Central</x:v>
      </x:c>
      <x:c r="E83" s="20" t="n">
        <x:v>46147</x:v>
      </x:c>
      <x:c r="F83" s="24" t="n">
        <x:v>62</x:v>
      </x:c>
      <x:c r="G83" s="24" t="n">
        <x:v>4.8</x:v>
      </x:c>
      <x:c r="H83" s="22" t="n">
        <x:v>1643.93</x:v>
      </x:c>
      <x:c r="I83" s="24" t="str">
        <x:v>Delivered</x:v>
      </x:c>
      <x:c r="J83" s="24" t="str">
        <x:f>XLOOKUP(B83,Restaurants!$A$4:$A$18,Restaurants!$B$4:$B$18,"Unknown")</x:f>
        <x:v>Pizza Point</x:v>
      </x:c>
      <x:c r="K83" s="24" t="str">
        <x:f>XLOOKUP(B83,Restaurants!$A$4:$A$18,Restaurants!$D$4:$D$18,"Unknown")</x:f>
        <x:v>Cloud Kitchen</x:v>
      </x:c>
      <x:c r="L83" s="24" t="str">
        <x:f>IF(AND(I83="Delivered",F83&lt;=40),"On-Time",IF(I83="Cancelled","Cancelled","Review"))</x:f>
        <x:v>Review</x:v>
      </x:c>
    </x:row>
    <x:row r="84">
      <x:c r="A84" s="24" t="str">
        <x:v>CAP-0081</x:v>
      </x:c>
      <x:c r="B84" s="24" t="str">
        <x:v>CR010</x:v>
      </x:c>
      <x:c r="C84" s="24" t="str">
        <x:v>North Indian</x:v>
      </x:c>
      <x:c r="D84" s="24" t="str">
        <x:v>Central</x:v>
      </x:c>
      <x:c r="E84" s="20" t="n">
        <x:v>46135</x:v>
      </x:c>
      <x:c r="F84" s="24" t="n">
        <x:v>42</x:v>
      </x:c>
      <x:c r="G84" s="24" t="n">
        <x:v>4.8</x:v>
      </x:c>
      <x:c r="H84" s="22" t="n">
        <x:v>1159.91</x:v>
      </x:c>
      <x:c r="I84" s="24" t="str">
        <x:v>Delayed</x:v>
      </x:c>
      <x:c r="J84" s="24" t="str">
        <x:f>XLOOKUP(B84,Restaurants!$A$4:$A$18,Restaurants!$B$4:$B$18,"Unknown")</x:f>
        <x:v>Pizza Point</x:v>
      </x:c>
      <x:c r="K84" s="24" t="str">
        <x:f>XLOOKUP(B84,Restaurants!$A$4:$A$18,Restaurants!$D$4:$D$18,"Unknown")</x:f>
        <x:v>Cloud Kitchen</x:v>
      </x:c>
      <x:c r="L84" s="24" t="str">
        <x:f>IF(AND(I84="Delivered",F84&lt;=40),"On-Time",IF(I84="Cancelled","Cancelled","Review"))</x:f>
        <x:v>Review</x:v>
      </x:c>
    </x:row>
    <x:row r="85">
      <x:c r="A85" s="24" t="str">
        <x:v>CAP-0082</x:v>
      </x:c>
      <x:c r="B85" s="24" t="str">
        <x:v>CR013</x:v>
      </x:c>
      <x:c r="C85" s="24" t="str">
        <x:v>Italian</x:v>
      </x:c>
      <x:c r="D85" s="24" t="str">
        <x:v>East</x:v>
      </x:c>
      <x:c r="E85" s="20" t="n">
        <x:v>46122</x:v>
      </x:c>
      <x:c r="F85" s="24" t="n">
        <x:v>23</x:v>
      </x:c>
      <x:c r="G85" s="24" t="n">
        <x:v>3.9</x:v>
      </x:c>
      <x:c r="H85" s="22" t="n">
        <x:v>1566.64</x:v>
      </x:c>
      <x:c r="I85" s="24" t="str">
        <x:v>Delivered</x:v>
      </x:c>
      <x:c r="J85" s="24" t="str">
        <x:f>XLOOKUP(B85,Restaurants!$A$4:$A$18,Restaurants!$B$4:$B$18,"Unknown")</x:f>
        <x:v>Thali Trails</x:v>
      </x:c>
      <x:c r="K85" s="24" t="str">
        <x:f>XLOOKUP(B85,Restaurants!$A$4:$A$18,Restaurants!$D$4:$D$18,"Unknown")</x:f>
        <x:v>Cloud Kitchen</x:v>
      </x:c>
      <x:c r="L85" s="24" t="str">
        <x:f>IF(AND(I85="Delivered",F85&lt;=40),"On-Time",IF(I85="Cancelled","Cancelled","Review"))</x:f>
        <x:v>On-Time</x:v>
      </x:c>
    </x:row>
    <x:row r="86">
      <x:c r="A86" s="24" t="str">
        <x:v>CAP-0083</x:v>
      </x:c>
      <x:c r="B86" s="24" t="str">
        <x:v>CR011</x:v>
      </x:c>
      <x:c r="C86" s="24" t="str">
        <x:v>Chinese</x:v>
      </x:c>
      <x:c r="D86" s="24" t="str">
        <x:v>North</x:v>
      </x:c>
      <x:c r="E86" s="20" t="n">
        <x:v>46162</x:v>
      </x:c>
      <x:c r="F86" s="24" t="n">
        <x:v>60</x:v>
      </x:c>
      <x:c r="G86" s="24" t="n">
        <x:v>5</x:v>
      </x:c>
      <x:c r="H86" s="22" t="n">
        <x:v>1372.45</x:v>
      </x:c>
      <x:c r="I86" s="24" t="str">
        <x:v>Delivered</x:v>
      </x:c>
      <x:c r="J86" s="24" t="str">
        <x:f>XLOOKUP(B86,Restaurants!$A$4:$A$18,Restaurants!$B$4:$B$18,"Unknown")</x:f>
        <x:v>Kebab Kingdom</x:v>
      </x:c>
      <x:c r="K86" s="24" t="str">
        <x:f>XLOOKUP(B86,Restaurants!$A$4:$A$18,Restaurants!$D$4:$D$18,"Unknown")</x:f>
        <x:v>Dine-in</x:v>
      </x:c>
      <x:c r="L86" s="24" t="str">
        <x:f>IF(AND(I86="Delivered",F86&lt;=40),"On-Time",IF(I86="Cancelled","Cancelled","Review"))</x:f>
        <x:v>Review</x:v>
      </x:c>
    </x:row>
    <x:row r="87">
      <x:c r="A87" s="24" t="str">
        <x:v>CAP-0084</x:v>
      </x:c>
      <x:c r="B87" s="24" t="str">
        <x:v>CR009</x:v>
      </x:c>
      <x:c r="C87" s="24" t="str">
        <x:v>Chinese</x:v>
      </x:c>
      <x:c r="D87" s="24" t="str">
        <x:v>West</x:v>
      </x:c>
      <x:c r="E87" s="20" t="n">
        <x:v>46119</x:v>
      </x:c>
      <x:c r="F87" s="24" t="n">
        <x:v>38</x:v>
      </x:c>
      <x:c r="G87" s="24" t="n">
        <x:v>4.4</x:v>
      </x:c>
      <x:c r="H87" s="22" t="n">
        <x:v>1188.01</x:v>
      </x:c>
      <x:c r="I87" s="24" t="str">
        <x:v>Delivered</x:v>
      </x:c>
      <x:c r="J87" s="24" t="str">
        <x:f>XLOOKUP(B87,Restaurants!$A$4:$A$18,Restaurants!$B$4:$B$18,"Unknown")</x:f>
        <x:v>Noodle Nest</x:v>
      </x:c>
      <x:c r="K87" s="24" t="str">
        <x:f>XLOOKUP(B87,Restaurants!$A$4:$A$18,Restaurants!$D$4:$D$18,"Unknown")</x:f>
        <x:v>QSR</x:v>
      </x:c>
      <x:c r="L87" s="24" t="str">
        <x:f>IF(AND(I87="Delivered",F87&lt;=40),"On-Time",IF(I87="Cancelled","Cancelled","Review"))</x:f>
        <x:v>On-Time</x:v>
      </x:c>
    </x:row>
    <x:row r="88">
      <x:c r="A88" s="24" t="str">
        <x:v>CAP-0085</x:v>
      </x:c>
      <x:c r="B88" s="24" t="str">
        <x:v>CR010</x:v>
      </x:c>
      <x:c r="C88" s="24" t="str">
        <x:v>Italian</x:v>
      </x:c>
      <x:c r="D88" s="24" t="str">
        <x:v>Central</x:v>
      </x:c>
      <x:c r="E88" s="20" t="n">
        <x:v>46154</x:v>
      </x:c>
      <x:c r="F88" s="24" t="n">
        <x:v>32</x:v>
      </x:c>
      <x:c r="G88" s="24" t="n">
        <x:v>5</x:v>
      </x:c>
      <x:c r="H88" s="22" t="n">
        <x:v>1010.44</x:v>
      </x:c>
      <x:c r="I88" s="24" t="str">
        <x:v>Delivered</x:v>
      </x:c>
      <x:c r="J88" s="24" t="str">
        <x:f>XLOOKUP(B88,Restaurants!$A$4:$A$18,Restaurants!$B$4:$B$18,"Unknown")</x:f>
        <x:v>Pizza Point</x:v>
      </x:c>
      <x:c r="K88" s="24" t="str">
        <x:f>XLOOKUP(B88,Restaurants!$A$4:$A$18,Restaurants!$D$4:$D$18,"Unknown")</x:f>
        <x:v>Cloud Kitchen</x:v>
      </x:c>
      <x:c r="L88" s="24" t="str">
        <x:f>IF(AND(I88="Delivered",F88&lt;=40),"On-Time",IF(I88="Cancelled","Cancelled","Review"))</x:f>
        <x:v>On-Time</x:v>
      </x:c>
    </x:row>
    <x:row r="89">
      <x:c r="A89" s="24" t="str">
        <x:v>CAP-0086</x:v>
      </x:c>
      <x:c r="B89" s="24" t="str">
        <x:v>CR006</x:v>
      </x:c>
      <x:c r="C89" s="24" t="str">
        <x:v>Italian</x:v>
      </x:c>
      <x:c r="D89" s="24" t="str">
        <x:v>North</x:v>
      </x:c>
      <x:c r="E89" s="20" t="n">
        <x:v>46168</x:v>
      </x:c>
      <x:c r="F89" s="24" t="n">
        <x:v>27</x:v>
      </x:c>
      <x:c r="G89" s="24" t="n">
        <x:v>3.9</x:v>
      </x:c>
      <x:c r="H89" s="22" t="n">
        <x:v>1446.86</x:v>
      </x:c>
      <x:c r="I89" s="24" t="str">
        <x:v>Delivered</x:v>
      </x:c>
      <x:c r="J89" s="24" t="str">
        <x:f>XLOOKUP(B89,Restaurants!$A$4:$A$18,Restaurants!$B$4:$B$18,"Unknown")</x:f>
        <x:v>Tandoor Town</x:v>
      </x:c>
      <x:c r="K89" s="24" t="str">
        <x:f>XLOOKUP(B89,Restaurants!$A$4:$A$18,Restaurants!$D$4:$D$18,"Unknown")</x:f>
        <x:v>QSR</x:v>
      </x:c>
      <x:c r="L89" s="24" t="str">
        <x:f>IF(AND(I89="Delivered",F89&lt;=40),"On-Time",IF(I89="Cancelled","Cancelled","Review"))</x:f>
        <x:v>On-Time</x:v>
      </x:c>
    </x:row>
    <x:row r="90">
      <x:c r="A90" s="24" t="str">
        <x:v>CAP-0087</x:v>
      </x:c>
      <x:c r="B90" s="24" t="str">
        <x:v>CR005</x:v>
      </x:c>
      <x:c r="C90" s="24" t="str">
        <x:v>South Indian</x:v>
      </x:c>
      <x:c r="D90" s="24" t="str">
        <x:v>Central</x:v>
      </x:c>
      <x:c r="E90" s="20" t="n">
        <x:v>46122</x:v>
      </x:c>
      <x:c r="F90" s="24" t="n">
        <x:v>48</x:v>
      </x:c>
      <x:c r="G90" s="24" t="n">
        <x:v>4.9</x:v>
      </x:c>
      <x:c r="H90" s="22" t="n">
        <x:v>1232.55</x:v>
      </x:c>
      <x:c r="I90" s="24" t="str">
        <x:v>Delivered</x:v>
      </x:c>
      <x:c r="J90" s="24" t="str">
        <x:f>XLOOKUP(B90,Restaurants!$A$4:$A$18,Restaurants!$B$4:$B$18,"Unknown")</x:f>
        <x:v>Biryani Bay</x:v>
      </x:c>
      <x:c r="K90" s="24" t="str">
        <x:f>XLOOKUP(B90,Restaurants!$A$4:$A$18,Restaurants!$D$4:$D$18,"Unknown")</x:f>
        <x:v>Dine-in</x:v>
      </x:c>
      <x:c r="L90" s="24" t="str">
        <x:f>IF(AND(I90="Delivered",F90&lt;=40),"On-Time",IF(I90="Cancelled","Cancelled","Review"))</x:f>
        <x:v>Review</x:v>
      </x:c>
    </x:row>
    <x:row r="91">
      <x:c r="A91" s="24" t="str">
        <x:v>CAP-0088</x:v>
      </x:c>
      <x:c r="B91" s="24" t="str">
        <x:v>CR012</x:v>
      </x:c>
      <x:c r="C91" s="24" t="str">
        <x:v>Italian</x:v>
      </x:c>
      <x:c r="D91" s="24" t="str">
        <x:v>South</x:v>
      </x:c>
      <x:c r="E91" s="20" t="n">
        <x:v>46153</x:v>
      </x:c>
      <x:c r="F91" s="24" t="n">
        <x:v>62</x:v>
      </x:c>
      <x:c r="G91" s="24" t="n">
        <x:v>4.9</x:v>
      </x:c>
      <x:c r="H91" s="22" t="n">
        <x:v>939.34</x:v>
      </x:c>
      <x:c r="I91" s="24" t="str">
        <x:v>Delivered</x:v>
      </x:c>
      <x:c r="J91" s="24" t="str">
        <x:f>XLOOKUP(B91,Restaurants!$A$4:$A$18,Restaurants!$B$4:$B$18,"Unknown")</x:f>
        <x:v>Sushi Street</x:v>
      </x:c>
      <x:c r="K91" s="24" t="str">
        <x:f>XLOOKUP(B91,Restaurants!$A$4:$A$18,Restaurants!$D$4:$D$18,"Unknown")</x:f>
        <x:v>QSR</x:v>
      </x:c>
      <x:c r="L91" s="24" t="str">
        <x:f>IF(AND(I91="Delivered",F91&lt;=40),"On-Time",IF(I91="Cancelled","Cancelled","Review"))</x:f>
        <x:v>Review</x:v>
      </x:c>
    </x:row>
    <x:row r="92">
      <x:c r="A92" s="24" t="str">
        <x:v>CAP-0089</x:v>
      </x:c>
      <x:c r="B92" s="24" t="str">
        <x:v>CR013</x:v>
      </x:c>
      <x:c r="C92" s="24" t="str">
        <x:v>Chinese</x:v>
      </x:c>
      <x:c r="D92" s="24" t="str">
        <x:v>East</x:v>
      </x:c>
      <x:c r="E92" s="20" t="n">
        <x:v>46126</x:v>
      </x:c>
      <x:c r="F92" s="24" t="n">
        <x:v>43</x:v>
      </x:c>
      <x:c r="G92" s="24" t="n">
        <x:v>4.8</x:v>
      </x:c>
      <x:c r="H92" s="22" t="n">
        <x:v>1109.85</x:v>
      </x:c>
      <x:c r="I92" s="24" t="str">
        <x:v>Delivered</x:v>
      </x:c>
      <x:c r="J92" s="24" t="str">
        <x:f>XLOOKUP(B92,Restaurants!$A$4:$A$18,Restaurants!$B$4:$B$18,"Unknown")</x:f>
        <x:v>Thali Trails</x:v>
      </x:c>
      <x:c r="K92" s="24" t="str">
        <x:f>XLOOKUP(B92,Restaurants!$A$4:$A$18,Restaurants!$D$4:$D$18,"Unknown")</x:f>
        <x:v>Cloud Kitchen</x:v>
      </x:c>
      <x:c r="L92" s="24" t="str">
        <x:f>IF(AND(I92="Delivered",F92&lt;=40),"On-Time",IF(I92="Cancelled","Cancelled","Review"))</x:f>
        <x:v>Review</x:v>
      </x:c>
    </x:row>
    <x:row r="93">
      <x:c r="A93" s="24" t="str">
        <x:v>CAP-0090</x:v>
      </x:c>
      <x:c r="B93" s="24" t="str">
        <x:v>CR007</x:v>
      </x:c>
      <x:c r="C93" s="24" t="str">
        <x:v>North Indian</x:v>
      </x:c>
      <x:c r="D93" s="24" t="str">
        <x:v>South</x:v>
      </x:c>
      <x:c r="E93" s="20" t="n">
        <x:v>46116</x:v>
      </x:c>
      <x:c r="F93" s="24" t="n">
        <x:v>22</x:v>
      </x:c>
      <x:c r="G93" s="24" t="n">
        <x:v>4</x:v>
      </x:c>
      <x:c r="H93" s="22" t="n">
        <x:v>1465.88</x:v>
      </x:c>
      <x:c r="I93" s="24" t="str">
        <x:v>Delivered</x:v>
      </x:c>
      <x:c r="J93" s="24" t="str">
        <x:f>XLOOKUP(B93,Restaurants!$A$4:$A$18,Restaurants!$B$4:$B$18,"Unknown")</x:f>
        <x:v>Curry Corner</x:v>
      </x:c>
      <x:c r="K93" s="24" t="str">
        <x:f>XLOOKUP(B93,Restaurants!$A$4:$A$18,Restaurants!$D$4:$D$18,"Unknown")</x:f>
        <x:v>Cloud Kitchen</x:v>
      </x:c>
      <x:c r="L93" s="24" t="str">
        <x:f>IF(AND(I93="Delivered",F93&lt;=40),"On-Time",IF(I93="Cancelled","Cancelled","Review"))</x:f>
        <x:v>On-Time</x:v>
      </x:c>
    </x:row>
    <x:row r="94">
      <x:c r="A94" s="24" t="str">
        <x:v>CAP-0091</x:v>
      </x:c>
      <x:c r="B94" s="24" t="str">
        <x:v>CR014</x:v>
      </x:c>
      <x:c r="C94" s="24" t="str">
        <x:v>Italian</x:v>
      </x:c>
      <x:c r="D94" s="24" t="str">
        <x:v>West</x:v>
      </x:c>
      <x:c r="E94" s="20" t="n">
        <x:v>46114</x:v>
      </x:c>
      <x:c r="F94" s="24" t="n">
        <x:v>34</x:v>
      </x:c>
      <x:c r="G94" s="24" t="n">
        <x:v>4.3</x:v>
      </x:c>
      <x:c r="H94" s="22" t="n">
        <x:v>1646.76</x:v>
      </x:c>
      <x:c r="I94" s="24" t="str">
        <x:v>Delivered</x:v>
      </x:c>
      <x:c r="J94" s="24" t="str">
        <x:f>XLOOKUP(B94,Restaurants!$A$4:$A$18,Restaurants!$B$4:$B$18,"Unknown")</x:f>
        <x:v>Burger Barn</x:v>
      </x:c>
      <x:c r="K94" s="24" t="str">
        <x:f>XLOOKUP(B94,Restaurants!$A$4:$A$18,Restaurants!$D$4:$D$18,"Unknown")</x:f>
        <x:v>Dine-in</x:v>
      </x:c>
      <x:c r="L94" s="24" t="str">
        <x:f>IF(AND(I94="Delivered",F94&lt;=40),"On-Time",IF(I94="Cancelled","Cancelled","Review"))</x:f>
        <x:v>On-Time</x:v>
      </x:c>
    </x:row>
    <x:row r="95">
      <x:c r="A95" s="24" t="str">
        <x:v>CAP-0092</x:v>
      </x:c>
      <x:c r="B95" s="24" t="str">
        <x:v>CR015</x:v>
      </x:c>
      <x:c r="C95" s="24" t="str">
        <x:v>South Indian</x:v>
      </x:c>
      <x:c r="D95" s="24" t="str">
        <x:v>Central</x:v>
      </x:c>
      <x:c r="E95" s="20" t="n">
        <x:v>46186</x:v>
      </x:c>
      <x:c r="F95" s="24" t="n">
        <x:v>35</x:v>
      </x:c>
      <x:c r="G95" s="24" t="n">
        <x:v>3.9</x:v>
      </x:c>
      <x:c r="H95" s="22" t="n">
        <x:v>666.82</x:v>
      </x:c>
      <x:c r="I95" s="24" t="str">
        <x:v>Delivered</x:v>
      </x:c>
      <x:c r="J95" s="24" t="str">
        <x:f>XLOOKUP(B95,Restaurants!$A$4:$A$18,Restaurants!$B$4:$B$18,"Unknown")</x:f>
        <x:v>Chaat Chowk</x:v>
      </x:c>
      <x:c r="K95" s="24" t="str">
        <x:f>XLOOKUP(B95,Restaurants!$A$4:$A$18,Restaurants!$D$4:$D$18,"Unknown")</x:f>
        <x:v>QSR</x:v>
      </x:c>
      <x:c r="L95" s="24" t="str">
        <x:f>IF(AND(I95="Delivered",F95&lt;=40),"On-Time",IF(I95="Cancelled","Cancelled","Review"))</x:f>
        <x:v>On-Time</x:v>
      </x:c>
    </x:row>
    <x:row r="96">
      <x:c r="A96" s="24" t="str">
        <x:v>CAP-0093</x:v>
      </x:c>
      <x:c r="B96" s="24" t="str">
        <x:v>CR005</x:v>
      </x:c>
      <x:c r="C96" s="24" t="str">
        <x:v>Italian</x:v>
      </x:c>
      <x:c r="D96" s="24" t="str">
        <x:v>Central</x:v>
      </x:c>
      <x:c r="E96" s="20" t="n">
        <x:v>46131</x:v>
      </x:c>
      <x:c r="F96" s="24" t="n">
        <x:v>26</x:v>
      </x:c>
      <x:c r="G96" s="24" t="n">
        <x:v>4.4</x:v>
      </x:c>
      <x:c r="H96" s="22" t="n">
        <x:v>1000.56</x:v>
      </x:c>
      <x:c r="I96" s="24" t="str">
        <x:v>Delivered</x:v>
      </x:c>
      <x:c r="J96" s="24" t="str">
        <x:f>XLOOKUP(B96,Restaurants!$A$4:$A$18,Restaurants!$B$4:$B$18,"Unknown")</x:f>
        <x:v>Biryani Bay</x:v>
      </x:c>
      <x:c r="K96" s="24" t="str">
        <x:f>XLOOKUP(B96,Restaurants!$A$4:$A$18,Restaurants!$D$4:$D$18,"Unknown")</x:f>
        <x:v>Dine-in</x:v>
      </x:c>
      <x:c r="L96" s="24" t="str">
        <x:f>IF(AND(I96="Delivered",F96&lt;=40),"On-Time",IF(I96="Cancelled","Cancelled","Review"))</x:f>
        <x:v>On-Time</x:v>
      </x:c>
    </x:row>
    <x:row r="97">
      <x:c r="A97" s="24" t="str">
        <x:v>CAP-0094</x:v>
      </x:c>
      <x:c r="B97" s="24" t="str">
        <x:v>CR002</x:v>
      </x:c>
      <x:c r="C97" s="24" t="str">
        <x:v>Chinese</x:v>
      </x:c>
      <x:c r="D97" s="24" t="str">
        <x:v>South</x:v>
      </x:c>
      <x:c r="E97" s="20" t="n">
        <x:v>46145</x:v>
      </x:c>
      <x:c r="F97" s="24" t="n">
        <x:v>52</x:v>
      </x:c>
      <x:c r="G97" s="24" t="n">
        <x:v>2.9</x:v>
      </x:c>
      <x:c r="H97" s="22" t="n">
        <x:v>1205.84</x:v>
      </x:c>
      <x:c r="I97" s="24" t="str">
        <x:v>Delayed</x:v>
      </x:c>
      <x:c r="J97" s="24" t="str">
        <x:f>XLOOKUP(B97,Restaurants!$A$4:$A$18,Restaurants!$B$4:$B$18,"Unknown")</x:f>
        <x:v>Dosa District</x:v>
      </x:c>
      <x:c r="K97" s="24" t="str">
        <x:f>XLOOKUP(B97,Restaurants!$A$4:$A$18,Restaurants!$D$4:$D$18,"Unknown")</x:f>
        <x:v>Dine-in</x:v>
      </x:c>
      <x:c r="L97" s="24" t="str">
        <x:f>IF(AND(I97="Delivered",F97&lt;=40),"On-Time",IF(I97="Cancelled","Cancelled","Review"))</x:f>
        <x:v>Review</x:v>
      </x:c>
    </x:row>
    <x:row r="98">
      <x:c r="A98" s="24" t="str">
        <x:v>CAP-0095</x:v>
      </x:c>
      <x:c r="B98" s="24" t="str">
        <x:v>CR008</x:v>
      </x:c>
      <x:c r="C98" s="24" t="str">
        <x:v>North Indian</x:v>
      </x:c>
      <x:c r="D98" s="24" t="str">
        <x:v>East</x:v>
      </x:c>
      <x:c r="E98" s="20" t="n">
        <x:v>46130</x:v>
      </x:c>
      <x:c r="F98" s="24" t="n">
        <x:v>48</x:v>
      </x:c>
      <x:c r="G98" s="24" t="n">
        <x:v>4</x:v>
      </x:c>
      <x:c r="H98" s="22" t="n">
        <x:v>1211.3</x:v>
      </x:c>
      <x:c r="I98" s="24" t="str">
        <x:v>Delivered</x:v>
      </x:c>
      <x:c r="J98" s="24" t="str">
        <x:f>XLOOKUP(B98,Restaurants!$A$4:$A$18,Restaurants!$B$4:$B$18,"Unknown")</x:f>
        <x:v>Idli House</x:v>
      </x:c>
      <x:c r="K98" s="24" t="str">
        <x:f>XLOOKUP(B98,Restaurants!$A$4:$A$18,Restaurants!$D$4:$D$18,"Unknown")</x:f>
        <x:v>Dine-in</x:v>
      </x:c>
      <x:c r="L98" s="24" t="str">
        <x:f>IF(AND(I98="Delivered",F98&lt;=40),"On-Time",IF(I98="Cancelled","Cancelled","Review"))</x:f>
        <x:v>Review</x:v>
      </x:c>
    </x:row>
    <x:row r="99">
      <x:c r="A99" s="24" t="str">
        <x:v>CAP-0096</x:v>
      </x:c>
      <x:c r="B99" s="24" t="str">
        <x:v>CR013</x:v>
      </x:c>
      <x:c r="C99" s="24" t="str">
        <x:v>Chinese</x:v>
      </x:c>
      <x:c r="D99" s="24" t="str">
        <x:v>East</x:v>
      </x:c>
      <x:c r="E99" s="20" t="n">
        <x:v>46169</x:v>
      </x:c>
      <x:c r="F99" s="24" t="n">
        <x:v>47</x:v>
      </x:c>
      <x:c r="G99" s="24" t="n">
        <x:v>3.2</x:v>
      </x:c>
      <x:c r="H99" s="22" t="n">
        <x:v>1760.05</x:v>
      </x:c>
      <x:c r="I99" s="24" t="str">
        <x:v>Delivered</x:v>
      </x:c>
      <x:c r="J99" s="24" t="str">
        <x:f>XLOOKUP(B99,Restaurants!$A$4:$A$18,Restaurants!$B$4:$B$18,"Unknown")</x:f>
        <x:v>Thali Trails</x:v>
      </x:c>
      <x:c r="K99" s="24" t="str">
        <x:f>XLOOKUP(B99,Restaurants!$A$4:$A$18,Restaurants!$D$4:$D$18,"Unknown")</x:f>
        <x:v>Cloud Kitchen</x:v>
      </x:c>
      <x:c r="L99" s="24" t="str">
        <x:f>IF(AND(I99="Delivered",F99&lt;=40),"On-Time",IF(I99="Cancelled","Cancelled","Review"))</x:f>
        <x:v>Review</x:v>
      </x:c>
    </x:row>
    <x:row r="100">
      <x:c r="A100" s="24" t="str">
        <x:v>CAP-0097</x:v>
      </x:c>
      <x:c r="B100" s="24" t="str">
        <x:v>CR003</x:v>
      </x:c>
      <x:c r="C100" s="24" t="str">
        <x:v>Chinese</x:v>
      </x:c>
      <x:c r="D100" s="24" t="str">
        <x:v>East</x:v>
      </x:c>
      <x:c r="E100" s="20" t="n">
        <x:v>46154</x:v>
      </x:c>
      <x:c r="F100" s="24" t="n">
        <x:v>33</x:v>
      </x:c>
      <x:c r="G100" s="24" t="n">
        <x:v>3.6</x:v>
      </x:c>
      <x:c r="H100" s="22" t="n">
        <x:v>525.34</x:v>
      </x:c>
      <x:c r="I100" s="24" t="str">
        <x:v>Delivered</x:v>
      </x:c>
      <x:c r="J100" s="24" t="str">
        <x:f>XLOOKUP(B100,Restaurants!$A$4:$A$18,Restaurants!$B$4:$B$18,"Unknown")</x:f>
        <x:v>Wok Works</x:v>
      </x:c>
      <x:c r="K100" s="24" t="str">
        <x:f>XLOOKUP(B100,Restaurants!$A$4:$A$18,Restaurants!$D$4:$D$18,"Unknown")</x:f>
        <x:v>QSR</x:v>
      </x:c>
      <x:c r="L100" s="24" t="str">
        <x:f>IF(AND(I100="Delivered",F100&lt;=40),"On-Time",IF(I100="Cancelled","Cancelled","Review"))</x:f>
        <x:v>On-Time</x:v>
      </x:c>
    </x:row>
    <x:row r="101">
      <x:c r="A101" s="24" t="str">
        <x:v>CAP-0098</x:v>
      </x:c>
      <x:c r="B101" s="24" t="str">
        <x:v>CR007</x:v>
      </x:c>
      <x:c r="C101" s="24" t="str">
        <x:v>Chinese</x:v>
      </x:c>
      <x:c r="D101" s="24" t="str">
        <x:v>South</x:v>
      </x:c>
      <x:c r="E101" s="20" t="n">
        <x:v>46150</x:v>
      </x:c>
      <x:c r="F101" s="24" t="n">
        <x:v>16</x:v>
      </x:c>
      <x:c r="G101" s="24" t="n">
        <x:v>3.1</x:v>
      </x:c>
      <x:c r="H101" s="22" t="n">
        <x:v>1462.06</x:v>
      </x:c>
      <x:c r="I101" s="24" t="str">
        <x:v>Delivered</x:v>
      </x:c>
      <x:c r="J101" s="24" t="str">
        <x:f>XLOOKUP(B101,Restaurants!$A$4:$A$18,Restaurants!$B$4:$B$18,"Unknown")</x:f>
        <x:v>Curry Corner</x:v>
      </x:c>
      <x:c r="K101" s="24" t="str">
        <x:f>XLOOKUP(B101,Restaurants!$A$4:$A$18,Restaurants!$D$4:$D$18,"Unknown")</x:f>
        <x:v>Cloud Kitchen</x:v>
      </x:c>
      <x:c r="L101" s="24" t="str">
        <x:f>IF(AND(I101="Delivered",F101&lt;=40),"On-Time",IF(I101="Cancelled","Cancelled","Review"))</x:f>
        <x:v>On-Time</x:v>
      </x:c>
    </x:row>
    <x:row r="102">
      <x:c r="A102" s="24" t="str">
        <x:v>CAP-0099</x:v>
      </x:c>
      <x:c r="B102" s="24" t="str">
        <x:v>CR006</x:v>
      </x:c>
      <x:c r="C102" s="24" t="str">
        <x:v>Italian</x:v>
      </x:c>
      <x:c r="D102" s="24" t="str">
        <x:v>North</x:v>
      </x:c>
      <x:c r="E102" s="20" t="n">
        <x:v>46148</x:v>
      </x:c>
      <x:c r="F102" s="24" t="n">
        <x:v>50</x:v>
      </x:c>
      <x:c r="G102" s="24" t="n">
        <x:v>3.7</x:v>
      </x:c>
      <x:c r="H102" s="22" t="n">
        <x:v>1123.97</x:v>
      </x:c>
      <x:c r="I102" s="24" t="str">
        <x:v>Cancelled</x:v>
      </x:c>
      <x:c r="J102" s="24" t="str">
        <x:f>XLOOKUP(B102,Restaurants!$A$4:$A$18,Restaurants!$B$4:$B$18,"Unknown")</x:f>
        <x:v>Tandoor Town</x:v>
      </x:c>
      <x:c r="K102" s="24" t="str">
        <x:f>XLOOKUP(B102,Restaurants!$A$4:$A$18,Restaurants!$D$4:$D$18,"Unknown")</x:f>
        <x:v>QSR</x:v>
      </x:c>
      <x:c r="L102" s="24" t="str">
        <x:f>IF(AND(I102="Delivered",F102&lt;=40),"On-Time",IF(I102="Cancelled","Cancelled","Review"))</x:f>
        <x:v>Cancelled</x:v>
      </x:c>
    </x:row>
    <x:row r="103">
      <x:c r="A103" s="24" t="str">
        <x:v>CAP-0100</x:v>
      </x:c>
      <x:c r="B103" s="24" t="str">
        <x:v>CR010</x:v>
      </x:c>
      <x:c r="C103" s="24" t="str">
        <x:v>South Indian</x:v>
      </x:c>
      <x:c r="D103" s="24" t="str">
        <x:v>Central</x:v>
      </x:c>
      <x:c r="E103" s="20" t="n">
        <x:v>46200</x:v>
      </x:c>
      <x:c r="F103" s="24" t="n">
        <x:v>57</x:v>
      </x:c>
      <x:c r="G103" s="24" t="n">
        <x:v>4.3</x:v>
      </x:c>
      <x:c r="H103" s="22" t="n">
        <x:v>1711.61</x:v>
      </x:c>
      <x:c r="I103" s="24" t="str">
        <x:v>Delivered</x:v>
      </x:c>
      <x:c r="J103" s="24" t="str">
        <x:f>XLOOKUP(B103,Restaurants!$A$4:$A$18,Restaurants!$B$4:$B$18,"Unknown")</x:f>
        <x:v>Pizza Point</x:v>
      </x:c>
      <x:c r="K103" s="24" t="str">
        <x:f>XLOOKUP(B103,Restaurants!$A$4:$A$18,Restaurants!$D$4:$D$18,"Unknown")</x:f>
        <x:v>Cloud Kitchen</x:v>
      </x:c>
      <x:c r="L103" s="24" t="str">
        <x:f>IF(AND(I103="Delivered",F103&lt;=40),"On-Time",IF(I103="Cancelled","Cancelled","Review"))</x:f>
        <x:v>Review</x:v>
      </x:c>
    </x:row>
    <x:row r="104">
      <x:c r="A104" s="24" t="str">
        <x:v>CAP-0101</x:v>
      </x:c>
      <x:c r="B104" s="24" t="str">
        <x:v>CR004</x:v>
      </x:c>
      <x:c r="C104" s="24" t="str">
        <x:v>Italian</x:v>
      </x:c>
      <x:c r="D104" s="24" t="str">
        <x:v>West</x:v>
      </x:c>
      <x:c r="E104" s="20" t="n">
        <x:v>46150</x:v>
      </x:c>
      <x:c r="F104" s="24" t="n">
        <x:v>76</x:v>
      </x:c>
      <x:c r="G104" s="24" t="n">
        <x:v>3.9</x:v>
      </x:c>
      <x:c r="H104" s="22" t="n">
        <x:v>1482.32</x:v>
      </x:c>
      <x:c r="I104" s="24" t="str">
        <x:v>Cancelled</x:v>
      </x:c>
      <x:c r="J104" s="24" t="str">
        <x:f>XLOOKUP(B104,Restaurants!$A$4:$A$18,Restaurants!$B$4:$B$18,"Unknown")</x:f>
        <x:v>Pasta Plaza</x:v>
      </x:c>
      <x:c r="K104" s="24" t="str">
        <x:f>XLOOKUP(B104,Restaurants!$A$4:$A$18,Restaurants!$D$4:$D$18,"Unknown")</x:f>
        <x:v>Cloud Kitchen</x:v>
      </x:c>
      <x:c r="L104" s="24" t="str">
        <x:f>IF(AND(I104="Delivered",F104&lt;=40),"On-Time",IF(I104="Cancelled","Cancelled","Review"))</x:f>
        <x:v>Cancelled</x:v>
      </x:c>
    </x:row>
    <x:row r="105">
      <x:c r="A105" s="24" t="str">
        <x:v>CAP-0102</x:v>
      </x:c>
      <x:c r="B105" s="24" t="str">
        <x:v>CR011</x:v>
      </x:c>
      <x:c r="C105" s="24" t="str">
        <x:v>Italian</x:v>
      </x:c>
      <x:c r="D105" s="24" t="str">
        <x:v>North</x:v>
      </x:c>
      <x:c r="E105" s="20" t="n">
        <x:v>46130</x:v>
      </x:c>
      <x:c r="F105" s="24" t="n">
        <x:v>38</x:v>
      </x:c>
      <x:c r="G105" s="24" t="n">
        <x:v>5</x:v>
      </x:c>
      <x:c r="H105" s="22" t="n">
        <x:v>1358.62</x:v>
      </x:c>
      <x:c r="I105" s="24" t="str">
        <x:v>Delivered</x:v>
      </x:c>
      <x:c r="J105" s="24" t="str">
        <x:f>XLOOKUP(B105,Restaurants!$A$4:$A$18,Restaurants!$B$4:$B$18,"Unknown")</x:f>
        <x:v>Kebab Kingdom</x:v>
      </x:c>
      <x:c r="K105" s="24" t="str">
        <x:f>XLOOKUP(B105,Restaurants!$A$4:$A$18,Restaurants!$D$4:$D$18,"Unknown")</x:f>
        <x:v>Dine-in</x:v>
      </x:c>
      <x:c r="L105" s="24" t="str">
        <x:f>IF(AND(I105="Delivered",F105&lt;=40),"On-Time",IF(I105="Cancelled","Cancelled","Review"))</x:f>
        <x:v>On-Time</x:v>
      </x:c>
    </x:row>
    <x:row r="106">
      <x:c r="A106" s="24" t="str">
        <x:v>CAP-0103</x:v>
      </x:c>
      <x:c r="B106" s="24" t="str">
        <x:v>CR013</x:v>
      </x:c>
      <x:c r="C106" s="24" t="str">
        <x:v>Italian</x:v>
      </x:c>
      <x:c r="D106" s="24" t="str">
        <x:v>East</x:v>
      </x:c>
      <x:c r="E106" s="20" t="n">
        <x:v>46122</x:v>
      </x:c>
      <x:c r="F106" s="24" t="n">
        <x:v>25</x:v>
      </x:c>
      <x:c r="G106" s="24" t="n">
        <x:v>3.8</x:v>
      </x:c>
      <x:c r="H106" s="22" t="n">
        <x:v>1078.27</x:v>
      </x:c>
      <x:c r="I106" s="24" t="str">
        <x:v>Delivered</x:v>
      </x:c>
      <x:c r="J106" s="24" t="str">
        <x:f>XLOOKUP(B106,Restaurants!$A$4:$A$18,Restaurants!$B$4:$B$18,"Unknown")</x:f>
        <x:v>Thali Trails</x:v>
      </x:c>
      <x:c r="K106" s="24" t="str">
        <x:f>XLOOKUP(B106,Restaurants!$A$4:$A$18,Restaurants!$D$4:$D$18,"Unknown")</x:f>
        <x:v>Cloud Kitchen</x:v>
      </x:c>
      <x:c r="L106" s="24" t="str">
        <x:f>IF(AND(I106="Delivered",F106&lt;=40),"On-Time",IF(I106="Cancelled","Cancelled","Review"))</x:f>
        <x:v>On-Time</x:v>
      </x:c>
    </x:row>
    <x:row r="107">
      <x:c r="A107" s="24" t="str">
        <x:v>CAP-0104</x:v>
      </x:c>
      <x:c r="B107" s="24" t="str">
        <x:v>CR015</x:v>
      </x:c>
      <x:c r="C107" s="24" t="str">
        <x:v>Italian</x:v>
      </x:c>
      <x:c r="D107" s="24" t="str">
        <x:v>Central</x:v>
      </x:c>
      <x:c r="E107" s="20" t="n">
        <x:v>46182</x:v>
      </x:c>
      <x:c r="F107" s="24" t="n">
        <x:v>56</x:v>
      </x:c>
      <x:c r="G107" s="24" t="n">
        <x:v>4</x:v>
      </x:c>
      <x:c r="H107" s="22" t="n">
        <x:v>1509.06</x:v>
      </x:c>
      <x:c r="I107" s="24" t="str">
        <x:v>Delivered</x:v>
      </x:c>
      <x:c r="J107" s="24" t="str">
        <x:f>XLOOKUP(B107,Restaurants!$A$4:$A$18,Restaurants!$B$4:$B$18,"Unknown")</x:f>
        <x:v>Chaat Chowk</x:v>
      </x:c>
      <x:c r="K107" s="24" t="str">
        <x:f>XLOOKUP(B107,Restaurants!$A$4:$A$18,Restaurants!$D$4:$D$18,"Unknown")</x:f>
        <x:v>QSR</x:v>
      </x:c>
      <x:c r="L107" s="24" t="str">
        <x:f>IF(AND(I107="Delivered",F107&lt;=40),"On-Time",IF(I107="Cancelled","Cancelled","Review"))</x:f>
        <x:v>Review</x:v>
      </x:c>
    </x:row>
    <x:row r="108">
      <x:c r="A108" s="24" t="str">
        <x:v>CAP-0105</x:v>
      </x:c>
      <x:c r="B108" s="24" t="str">
        <x:v>CR010</x:v>
      </x:c>
      <x:c r="C108" s="24" t="str">
        <x:v>North Indian</x:v>
      </x:c>
      <x:c r="D108" s="24" t="str">
        <x:v>Central</x:v>
      </x:c>
      <x:c r="E108" s="20" t="n">
        <x:v>46126</x:v>
      </x:c>
      <x:c r="F108" s="24" t="n">
        <x:v>31</x:v>
      </x:c>
      <x:c r="G108" s="24" t="n">
        <x:v>3.8</x:v>
      </x:c>
      <x:c r="H108" s="22" t="n">
        <x:v>1252.85</x:v>
      </x:c>
      <x:c r="I108" s="24" t="str">
        <x:v>Delivered</x:v>
      </x:c>
      <x:c r="J108" s="24" t="str">
        <x:f>XLOOKUP(B108,Restaurants!$A$4:$A$18,Restaurants!$B$4:$B$18,"Unknown")</x:f>
        <x:v>Pizza Point</x:v>
      </x:c>
      <x:c r="K108" s="24" t="str">
        <x:f>XLOOKUP(B108,Restaurants!$A$4:$A$18,Restaurants!$D$4:$D$18,"Unknown")</x:f>
        <x:v>Cloud Kitchen</x:v>
      </x:c>
      <x:c r="L108" s="24" t="str">
        <x:f>IF(AND(I108="Delivered",F108&lt;=40),"On-Time",IF(I108="Cancelled","Cancelled","Review"))</x:f>
        <x:v>On-Time</x:v>
      </x:c>
    </x:row>
    <x:row r="109">
      <x:c r="A109" s="24" t="str">
        <x:v>CAP-0106</x:v>
      </x:c>
      <x:c r="B109" s="24" t="str">
        <x:v>CR001</x:v>
      </x:c>
      <x:c r="C109" s="24" t="str">
        <x:v>Italian</x:v>
      </x:c>
      <x:c r="D109" s="24" t="str">
        <x:v>North</x:v>
      </x:c>
      <x:c r="E109" s="20" t="n">
        <x:v>46155</x:v>
      </x:c>
      <x:c r="F109" s="24" t="n">
        <x:v>53</x:v>
      </x:c>
      <x:c r="G109" s="24" t="n">
        <x:v>3.5</x:v>
      </x:c>
      <x:c r="H109" s="22" t="n">
        <x:v>651.04</x:v>
      </x:c>
      <x:c r="I109" s="24" t="str">
        <x:v>Delayed</x:v>
      </x:c>
      <x:c r="J109" s="24" t="str">
        <x:f>XLOOKUP(B109,Restaurants!$A$4:$A$18,Restaurants!$B$4:$B$18,"Unknown")</x:f>
        <x:v>Spice Route</x:v>
      </x:c>
      <x:c r="K109" s="24" t="str">
        <x:f>XLOOKUP(B109,Restaurants!$A$4:$A$18,Restaurants!$D$4:$D$18,"Unknown")</x:f>
        <x:v>Cloud Kitchen</x:v>
      </x:c>
      <x:c r="L109" s="24" t="str">
        <x:f>IF(AND(I109="Delivered",F109&lt;=40),"On-Time",IF(I109="Cancelled","Cancelled","Review"))</x:f>
        <x:v>Review</x:v>
      </x:c>
    </x:row>
    <x:row r="110">
      <x:c r="A110" s="24" t="str">
        <x:v>CAP-0107</x:v>
      </x:c>
      <x:c r="B110" s="24" t="str">
        <x:v>CR009</x:v>
      </x:c>
      <x:c r="C110" s="24" t="str">
        <x:v>South Indian</x:v>
      </x:c>
      <x:c r="D110" s="24" t="str">
        <x:v>West</x:v>
      </x:c>
      <x:c r="E110" s="20" t="n">
        <x:v>46170</x:v>
      </x:c>
      <x:c r="F110" s="24" t="n">
        <x:v>20</x:v>
      </x:c>
      <x:c r="G110" s="24" t="n">
        <x:v>4.4</x:v>
      </x:c>
      <x:c r="H110" s="22" t="n">
        <x:v>1320.18</x:v>
      </x:c>
      <x:c r="I110" s="24" t="str">
        <x:v>Delivered</x:v>
      </x:c>
      <x:c r="J110" s="24" t="str">
        <x:f>XLOOKUP(B110,Restaurants!$A$4:$A$18,Restaurants!$B$4:$B$18,"Unknown")</x:f>
        <x:v>Noodle Nest</x:v>
      </x:c>
      <x:c r="K110" s="24" t="str">
        <x:f>XLOOKUP(B110,Restaurants!$A$4:$A$18,Restaurants!$D$4:$D$18,"Unknown")</x:f>
        <x:v>QSR</x:v>
      </x:c>
      <x:c r="L110" s="24" t="str">
        <x:f>IF(AND(I110="Delivered",F110&lt;=40),"On-Time",IF(I110="Cancelled","Cancelled","Review"))</x:f>
        <x:v>On-Time</x:v>
      </x:c>
    </x:row>
    <x:row r="111">
      <x:c r="A111" s="24" t="str">
        <x:v>CAP-0108</x:v>
      </x:c>
      <x:c r="B111" s="24" t="str">
        <x:v>CR003</x:v>
      </x:c>
      <x:c r="C111" s="24" t="str">
        <x:v>Chinese</x:v>
      </x:c>
      <x:c r="D111" s="24" t="str">
        <x:v>East</x:v>
      </x:c>
      <x:c r="E111" s="20" t="n">
        <x:v>46116</x:v>
      </x:c>
      <x:c r="F111" s="24" t="n">
        <x:v>30</x:v>
      </x:c>
      <x:c r="G111" s="24" t="n">
        <x:v>5</x:v>
      </x:c>
      <x:c r="H111" s="22" t="n">
        <x:v>383.07</x:v>
      </x:c>
      <x:c r="I111" s="24" t="str">
        <x:v>Delivered</x:v>
      </x:c>
      <x:c r="J111" s="24" t="str">
        <x:f>XLOOKUP(B111,Restaurants!$A$4:$A$18,Restaurants!$B$4:$B$18,"Unknown")</x:f>
        <x:v>Wok Works</x:v>
      </x:c>
      <x:c r="K111" s="24" t="str">
        <x:f>XLOOKUP(B111,Restaurants!$A$4:$A$18,Restaurants!$D$4:$D$18,"Unknown")</x:f>
        <x:v>QSR</x:v>
      </x:c>
      <x:c r="L111" s="24" t="str">
        <x:f>IF(AND(I111="Delivered",F111&lt;=40),"On-Time",IF(I111="Cancelled","Cancelled","Review"))</x:f>
        <x:v>On-Time</x:v>
      </x:c>
    </x:row>
    <x:row r="112">
      <x:c r="A112" s="24" t="str">
        <x:v>CAP-0109</x:v>
      </x:c>
      <x:c r="B112" s="24" t="str">
        <x:v>CR014</x:v>
      </x:c>
      <x:c r="C112" s="24" t="str">
        <x:v>South Indian</x:v>
      </x:c>
      <x:c r="D112" s="24" t="str">
        <x:v>West</x:v>
      </x:c>
      <x:c r="E112" s="20" t="n">
        <x:v>46157</x:v>
      </x:c>
      <x:c r="F112" s="24" t="n">
        <x:v>30</x:v>
      </x:c>
      <x:c r="G112" s="24" t="n">
        <x:v>4.3</x:v>
      </x:c>
      <x:c r="H112" s="22" t="n">
        <x:v>998.54</x:v>
      </x:c>
      <x:c r="I112" s="24" t="str">
        <x:v>Delivered</x:v>
      </x:c>
      <x:c r="J112" s="24" t="str">
        <x:f>XLOOKUP(B112,Restaurants!$A$4:$A$18,Restaurants!$B$4:$B$18,"Unknown")</x:f>
        <x:v>Burger Barn</x:v>
      </x:c>
      <x:c r="K112" s="24" t="str">
        <x:f>XLOOKUP(B112,Restaurants!$A$4:$A$18,Restaurants!$D$4:$D$18,"Unknown")</x:f>
        <x:v>Dine-in</x:v>
      </x:c>
      <x:c r="L112" s="24" t="str">
        <x:f>IF(AND(I112="Delivered",F112&lt;=40),"On-Time",IF(I112="Cancelled","Cancelled","Review"))</x:f>
        <x:v>On-Time</x:v>
      </x:c>
    </x:row>
    <x:row r="113">
      <x:c r="A113" s="24" t="str">
        <x:v>CAP-0110</x:v>
      </x:c>
      <x:c r="B113" s="24" t="str">
        <x:v>CR008</x:v>
      </x:c>
      <x:c r="C113" s="24" t="str">
        <x:v>North Indian</x:v>
      </x:c>
      <x:c r="D113" s="24" t="str">
        <x:v>East</x:v>
      </x:c>
      <x:c r="E113" s="20" t="n">
        <x:v>46169</x:v>
      </x:c>
      <x:c r="F113" s="24" t="n">
        <x:v>33</x:v>
      </x:c>
      <x:c r="G113" s="24" t="n">
        <x:v>4.3</x:v>
      </x:c>
      <x:c r="H113" s="22" t="n">
        <x:v>319.26</x:v>
      </x:c>
      <x:c r="I113" s="24" t="str">
        <x:v>Delivered</x:v>
      </x:c>
      <x:c r="J113" s="24" t="str">
        <x:f>XLOOKUP(B113,Restaurants!$A$4:$A$18,Restaurants!$B$4:$B$18,"Unknown")</x:f>
        <x:v>Idli House</x:v>
      </x:c>
      <x:c r="K113" s="24" t="str">
        <x:f>XLOOKUP(B113,Restaurants!$A$4:$A$18,Restaurants!$D$4:$D$18,"Unknown")</x:f>
        <x:v>Dine-in</x:v>
      </x:c>
      <x:c r="L113" s="24" t="str">
        <x:f>IF(AND(I113="Delivered",F113&lt;=40),"On-Time",IF(I113="Cancelled","Cancelled","Review"))</x:f>
        <x:v>On-Time</x:v>
      </x:c>
    </x:row>
    <x:row r="114">
      <x:c r="A114" s="24" t="str">
        <x:v>CAP-0111</x:v>
      </x:c>
      <x:c r="B114" s="24" t="str">
        <x:v>CR012</x:v>
      </x:c>
      <x:c r="C114" s="24" t="str">
        <x:v>North Indian</x:v>
      </x:c>
      <x:c r="D114" s="24" t="str">
        <x:v>South</x:v>
      </x:c>
      <x:c r="E114" s="20" t="n">
        <x:v>46115</x:v>
      </x:c>
      <x:c r="F114" s="24" t="n">
        <x:v>44</x:v>
      </x:c>
      <x:c r="G114" s="24" t="n">
        <x:v>2.8</x:v>
      </x:c>
      <x:c r="H114" s="22" t="n">
        <x:v>504.75</x:v>
      </x:c>
      <x:c r="I114" s="24" t="str">
        <x:v>Cancelled</x:v>
      </x:c>
      <x:c r="J114" s="24" t="str">
        <x:f>XLOOKUP(B114,Restaurants!$A$4:$A$18,Restaurants!$B$4:$B$18,"Unknown")</x:f>
        <x:v>Sushi Street</x:v>
      </x:c>
      <x:c r="K114" s="24" t="str">
        <x:f>XLOOKUP(B114,Restaurants!$A$4:$A$18,Restaurants!$D$4:$D$18,"Unknown")</x:f>
        <x:v>QSR</x:v>
      </x:c>
      <x:c r="L114" s="24" t="str">
        <x:f>IF(AND(I114="Delivered",F114&lt;=40),"On-Time",IF(I114="Cancelled","Cancelled","Review"))</x:f>
        <x:v>Cancelled</x:v>
      </x:c>
    </x:row>
    <x:row r="115">
      <x:c r="A115" s="24" t="str">
        <x:v>CAP-0112</x:v>
      </x:c>
      <x:c r="B115" s="24" t="str">
        <x:v>CR012</x:v>
      </x:c>
      <x:c r="C115" s="24" t="str">
        <x:v>South Indian</x:v>
      </x:c>
      <x:c r="D115" s="24" t="str">
        <x:v>South</x:v>
      </x:c>
      <x:c r="E115" s="20" t="n">
        <x:v>46179</x:v>
      </x:c>
      <x:c r="F115" s="24" t="n">
        <x:v>46</x:v>
      </x:c>
      <x:c r="G115" s="24" t="n">
        <x:v>4.8</x:v>
      </x:c>
      <x:c r="H115" s="22" t="n">
        <x:v>1735.62</x:v>
      </x:c>
      <x:c r="I115" s="24" t="str">
        <x:v>Delivered</x:v>
      </x:c>
      <x:c r="J115" s="24" t="str">
        <x:f>XLOOKUP(B115,Restaurants!$A$4:$A$18,Restaurants!$B$4:$B$18,"Unknown")</x:f>
        <x:v>Sushi Street</x:v>
      </x:c>
      <x:c r="K115" s="24" t="str">
        <x:f>XLOOKUP(B115,Restaurants!$A$4:$A$18,Restaurants!$D$4:$D$18,"Unknown")</x:f>
        <x:v>QSR</x:v>
      </x:c>
      <x:c r="L115" s="24" t="str">
        <x:f>IF(AND(I115="Delivered",F115&lt;=40),"On-Time",IF(I115="Cancelled","Cancelled","Review"))</x:f>
        <x:v>Review</x:v>
      </x:c>
    </x:row>
    <x:row r="116">
      <x:c r="A116" s="24" t="str">
        <x:v>CAP-0113</x:v>
      </x:c>
      <x:c r="B116" s="24" t="str">
        <x:v>CR004</x:v>
      </x:c>
      <x:c r="C116" s="24" t="str">
        <x:v>Italian</x:v>
      </x:c>
      <x:c r="D116" s="24" t="str">
        <x:v>West</x:v>
      </x:c>
      <x:c r="E116" s="20" t="n">
        <x:v>46193</x:v>
      </x:c>
      <x:c r="F116" s="24" t="n">
        <x:v>29</x:v>
      </x:c>
      <x:c r="G116" s="24" t="n">
        <x:v>3.7</x:v>
      </x:c>
      <x:c r="H116" s="22" t="n">
        <x:v>295.25</x:v>
      </x:c>
      <x:c r="I116" s="24" t="str">
        <x:v>Delivered</x:v>
      </x:c>
      <x:c r="J116" s="24" t="str">
        <x:f>XLOOKUP(B116,Restaurants!$A$4:$A$18,Restaurants!$B$4:$B$18,"Unknown")</x:f>
        <x:v>Pasta Plaza</x:v>
      </x:c>
      <x:c r="K116" s="24" t="str">
        <x:f>XLOOKUP(B116,Restaurants!$A$4:$A$18,Restaurants!$D$4:$D$18,"Unknown")</x:f>
        <x:v>Cloud Kitchen</x:v>
      </x:c>
      <x:c r="L116" s="24" t="str">
        <x:f>IF(AND(I116="Delivered",F116&lt;=40),"On-Time",IF(I116="Cancelled","Cancelled","Review"))</x:f>
        <x:v>On-Time</x:v>
      </x:c>
    </x:row>
    <x:row r="117">
      <x:c r="A117" s="24" t="str">
        <x:v>CAP-0114</x:v>
      </x:c>
      <x:c r="B117" s="24" t="str">
        <x:v>CR010</x:v>
      </x:c>
      <x:c r="C117" s="24" t="str">
        <x:v>South Indian</x:v>
      </x:c>
      <x:c r="D117" s="24" t="str">
        <x:v>Central</x:v>
      </x:c>
      <x:c r="E117" s="20" t="n">
        <x:v>46170</x:v>
      </x:c>
      <x:c r="F117" s="24" t="n">
        <x:v>23</x:v>
      </x:c>
      <x:c r="G117" s="24" t="n">
        <x:v>4.8</x:v>
      </x:c>
      <x:c r="H117" s="22" t="n">
        <x:v>568.97</x:v>
      </x:c>
      <x:c r="I117" s="24" t="str">
        <x:v>Delivered</x:v>
      </x:c>
      <x:c r="J117" s="24" t="str">
        <x:f>XLOOKUP(B117,Restaurants!$A$4:$A$18,Restaurants!$B$4:$B$18,"Unknown")</x:f>
        <x:v>Pizza Point</x:v>
      </x:c>
      <x:c r="K117" s="24" t="str">
        <x:f>XLOOKUP(B117,Restaurants!$A$4:$A$18,Restaurants!$D$4:$D$18,"Unknown")</x:f>
        <x:v>Cloud Kitchen</x:v>
      </x:c>
      <x:c r="L117" s="24" t="str">
        <x:f>IF(AND(I117="Delivered",F117&lt;=40),"On-Time",IF(I117="Cancelled","Cancelled","Review"))</x:f>
        <x:v>On-Time</x:v>
      </x:c>
    </x:row>
    <x:row r="118">
      <x:c r="A118" s="24" t="str">
        <x:v>CAP-0115</x:v>
      </x:c>
      <x:c r="B118" s="24" t="str">
        <x:v>CR013</x:v>
      </x:c>
      <x:c r="C118" s="24" t="str">
        <x:v>North Indian</x:v>
      </x:c>
      <x:c r="D118" s="24" t="str">
        <x:v>East</x:v>
      </x:c>
      <x:c r="E118" s="20" t="n">
        <x:v>46186</x:v>
      </x:c>
      <x:c r="F118" s="24" t="n">
        <x:v>43</x:v>
      </x:c>
      <x:c r="G118" s="24" t="n">
        <x:v>3.9</x:v>
      </x:c>
      <x:c r="H118" s="22" t="n">
        <x:v>755.28</x:v>
      </x:c>
      <x:c r="I118" s="24" t="str">
        <x:v>Delivered</x:v>
      </x:c>
      <x:c r="J118" s="24" t="str">
        <x:f>XLOOKUP(B118,Restaurants!$A$4:$A$18,Restaurants!$B$4:$B$18,"Unknown")</x:f>
        <x:v>Thali Trails</x:v>
      </x:c>
      <x:c r="K118" s="24" t="str">
        <x:f>XLOOKUP(B118,Restaurants!$A$4:$A$18,Restaurants!$D$4:$D$18,"Unknown")</x:f>
        <x:v>Cloud Kitchen</x:v>
      </x:c>
      <x:c r="L118" s="24" t="str">
        <x:f>IF(AND(I118="Delivered",F118&lt;=40),"On-Time",IF(I118="Cancelled","Cancelled","Review"))</x:f>
        <x:v>Review</x:v>
      </x:c>
    </x:row>
    <x:row r="119">
      <x:c r="A119" s="24" t="str">
        <x:v>CAP-0116</x:v>
      </x:c>
      <x:c r="B119" s="24" t="str">
        <x:v>CR008</x:v>
      </x:c>
      <x:c r="C119" s="24" t="str">
        <x:v>North Indian</x:v>
      </x:c>
      <x:c r="D119" s="24" t="str">
        <x:v>East</x:v>
      </x:c>
      <x:c r="E119" s="20" t="n">
        <x:v>46146</x:v>
      </x:c>
      <x:c r="F119" s="24" t="n">
        <x:v>8</x:v>
      </x:c>
      <x:c r="G119" s="24" t="n">
        <x:v>4.3</x:v>
      </x:c>
      <x:c r="H119" s="22" t="n">
        <x:v>735.78</x:v>
      </x:c>
      <x:c r="I119" s="24" t="str">
        <x:v>Delivered</x:v>
      </x:c>
      <x:c r="J119" s="24" t="str">
        <x:f>XLOOKUP(B119,Restaurants!$A$4:$A$18,Restaurants!$B$4:$B$18,"Unknown")</x:f>
        <x:v>Idli House</x:v>
      </x:c>
      <x:c r="K119" s="24" t="str">
        <x:f>XLOOKUP(B119,Restaurants!$A$4:$A$18,Restaurants!$D$4:$D$18,"Unknown")</x:f>
        <x:v>Dine-in</x:v>
      </x:c>
      <x:c r="L119" s="24" t="str">
        <x:f>IF(AND(I119="Delivered",F119&lt;=40),"On-Time",IF(I119="Cancelled","Cancelled","Review"))</x:f>
        <x:v>On-Time</x:v>
      </x:c>
    </x:row>
    <x:row r="120">
      <x:c r="A120" s="24" t="str">
        <x:v>CAP-0117</x:v>
      </x:c>
      <x:c r="B120" s="24" t="str">
        <x:v>CR007</x:v>
      </x:c>
      <x:c r="C120" s="24" t="str">
        <x:v>Italian</x:v>
      </x:c>
      <x:c r="D120" s="24" t="str">
        <x:v>South</x:v>
      </x:c>
      <x:c r="E120" s="20" t="n">
        <x:v>46188</x:v>
      </x:c>
      <x:c r="F120" s="24" t="n">
        <x:v>30</x:v>
      </x:c>
      <x:c r="G120" s="24" t="n">
        <x:v>4.7</x:v>
      </x:c>
      <x:c r="H120" s="22" t="n">
        <x:v>517.42</x:v>
      </x:c>
      <x:c r="I120" s="24" t="str">
        <x:v>Delivered</x:v>
      </x:c>
      <x:c r="J120" s="24" t="str">
        <x:f>XLOOKUP(B120,Restaurants!$A$4:$A$18,Restaurants!$B$4:$B$18,"Unknown")</x:f>
        <x:v>Curry Corner</x:v>
      </x:c>
      <x:c r="K120" s="24" t="str">
        <x:f>XLOOKUP(B120,Restaurants!$A$4:$A$18,Restaurants!$D$4:$D$18,"Unknown")</x:f>
        <x:v>Cloud Kitchen</x:v>
      </x:c>
      <x:c r="L120" s="24" t="str">
        <x:f>IF(AND(I120="Delivered",F120&lt;=40),"On-Time",IF(I120="Cancelled","Cancelled","Review"))</x:f>
        <x:v>On-Time</x:v>
      </x:c>
    </x:row>
    <x:row r="121">
      <x:c r="A121" s="24" t="str">
        <x:v>CAP-0118</x:v>
      </x:c>
      <x:c r="B121" s="24" t="str">
        <x:v>CR011</x:v>
      </x:c>
      <x:c r="C121" s="24" t="str">
        <x:v>Chinese</x:v>
      </x:c>
      <x:c r="D121" s="24" t="str">
        <x:v>North</x:v>
      </x:c>
      <x:c r="E121" s="20" t="n">
        <x:v>46191</x:v>
      </x:c>
      <x:c r="F121" s="24" t="n">
        <x:v>33</x:v>
      </x:c>
      <x:c r="G121" s="24" t="n">
        <x:v>3.8</x:v>
      </x:c>
      <x:c r="H121" s="22" t="n">
        <x:v>619.79</x:v>
      </x:c>
      <x:c r="I121" s="24" t="str">
        <x:v>Delivered</x:v>
      </x:c>
      <x:c r="J121" s="24" t="str">
        <x:f>XLOOKUP(B121,Restaurants!$A$4:$A$18,Restaurants!$B$4:$B$18,"Unknown")</x:f>
        <x:v>Kebab Kingdom</x:v>
      </x:c>
      <x:c r="K121" s="24" t="str">
        <x:f>XLOOKUP(B121,Restaurants!$A$4:$A$18,Restaurants!$D$4:$D$18,"Unknown")</x:f>
        <x:v>Dine-in</x:v>
      </x:c>
      <x:c r="L121" s="24" t="str">
        <x:f>IF(AND(I121="Delivered",F121&lt;=40),"On-Time",IF(I121="Cancelled","Cancelled","Review"))</x:f>
        <x:v>On-Time</x:v>
      </x:c>
    </x:row>
    <x:row r="122">
      <x:c r="A122" s="24" t="str">
        <x:v>CAP-0119</x:v>
      </x:c>
      <x:c r="B122" s="24" t="str">
        <x:v>CR002</x:v>
      </x:c>
      <x:c r="C122" s="24" t="str">
        <x:v>South Indian</x:v>
      </x:c>
      <x:c r="D122" s="24" t="str">
        <x:v>South</x:v>
      </x:c>
      <x:c r="E122" s="20" t="n">
        <x:v>46160</x:v>
      </x:c>
      <x:c r="F122" s="24" t="n">
        <x:v>25</x:v>
      </x:c>
      <x:c r="G122" s="24" t="n">
        <x:v>4.2</x:v>
      </x:c>
      <x:c r="H122" s="22" t="n">
        <x:v>463.69</x:v>
      </x:c>
      <x:c r="I122" s="24" t="str">
        <x:v>Delivered</x:v>
      </x:c>
      <x:c r="J122" s="24" t="str">
        <x:f>XLOOKUP(B122,Restaurants!$A$4:$A$18,Restaurants!$B$4:$B$18,"Unknown")</x:f>
        <x:v>Dosa District</x:v>
      </x:c>
      <x:c r="K122" s="24" t="str">
        <x:f>XLOOKUP(B122,Restaurants!$A$4:$A$18,Restaurants!$D$4:$D$18,"Unknown")</x:f>
        <x:v>Dine-in</x:v>
      </x:c>
      <x:c r="L122" s="24" t="str">
        <x:f>IF(AND(I122="Delivered",F122&lt;=40),"On-Time",IF(I122="Cancelled","Cancelled","Review"))</x:f>
        <x:v>On-Time</x:v>
      </x:c>
    </x:row>
    <x:row r="123">
      <x:c r="A123" s="24" t="str">
        <x:v>CAP-0120</x:v>
      </x:c>
      <x:c r="B123" s="24" t="str">
        <x:v>CR007</x:v>
      </x:c>
      <x:c r="C123" s="24" t="str">
        <x:v>Italian</x:v>
      </x:c>
      <x:c r="D123" s="24" t="str">
        <x:v>South</x:v>
      </x:c>
      <x:c r="E123" s="20" t="n">
        <x:v>46136</x:v>
      </x:c>
      <x:c r="F123" s="24" t="n">
        <x:v>11</x:v>
      </x:c>
      <x:c r="G123" s="24" t="n">
        <x:v>3.9</x:v>
      </x:c>
      <x:c r="H123" s="22" t="n">
        <x:v>1692.58</x:v>
      </x:c>
      <x:c r="I123" s="24" t="str">
        <x:v>Delivered</x:v>
      </x:c>
      <x:c r="J123" s="24" t="str">
        <x:f>XLOOKUP(B123,Restaurants!$A$4:$A$18,Restaurants!$B$4:$B$18,"Unknown")</x:f>
        <x:v>Curry Corner</x:v>
      </x:c>
      <x:c r="K123" s="24" t="str">
        <x:f>XLOOKUP(B123,Restaurants!$A$4:$A$18,Restaurants!$D$4:$D$18,"Unknown")</x:f>
        <x:v>Cloud Kitchen</x:v>
      </x:c>
      <x:c r="L123" s="24" t="str">
        <x:f>IF(AND(I123="Delivered",F123&lt;=40),"On-Time",IF(I123="Cancelled","Cancelled","Review"))</x:f>
        <x:v>On-Time</x:v>
      </x:c>
    </x:row>
    <x:row r="124">
      <x:c r="A124" s="24" t="str">
        <x:v>CAP-0121</x:v>
      </x:c>
      <x:c r="B124" s="24" t="str">
        <x:v>CR003</x:v>
      </x:c>
      <x:c r="C124" s="24" t="str">
        <x:v>South Indian</x:v>
      </x:c>
      <x:c r="D124" s="24" t="str">
        <x:v>East</x:v>
      </x:c>
      <x:c r="E124" s="20" t="n">
        <x:v>46175</x:v>
      </x:c>
      <x:c r="F124" s="24" t="n">
        <x:v>46</x:v>
      </x:c>
      <x:c r="G124" s="24" t="n">
        <x:v>5</x:v>
      </x:c>
      <x:c r="H124" s="22" t="n">
        <x:v>1210.09</x:v>
      </x:c>
      <x:c r="I124" s="24" t="str">
        <x:v>Delivered</x:v>
      </x:c>
      <x:c r="J124" s="24" t="str">
        <x:f>XLOOKUP(B124,Restaurants!$A$4:$A$18,Restaurants!$B$4:$B$18,"Unknown")</x:f>
        <x:v>Wok Works</x:v>
      </x:c>
      <x:c r="K124" s="24" t="str">
        <x:f>XLOOKUP(B124,Restaurants!$A$4:$A$18,Restaurants!$D$4:$D$18,"Unknown")</x:f>
        <x:v>QSR</x:v>
      </x:c>
      <x:c r="L124" s="24" t="str">
        <x:f>IF(AND(I124="Delivered",F124&lt;=40),"On-Time",IF(I124="Cancelled","Cancelled","Review"))</x:f>
        <x:v>Review</x:v>
      </x:c>
    </x:row>
    <x:row r="125">
      <x:c r="A125" s="24" t="str">
        <x:v>CAP-0122</x:v>
      </x:c>
      <x:c r="B125" s="24" t="str">
        <x:v>CR014</x:v>
      </x:c>
      <x:c r="C125" s="24" t="str">
        <x:v>Chinese</x:v>
      </x:c>
      <x:c r="D125" s="24" t="str">
        <x:v>West</x:v>
      </x:c>
      <x:c r="E125" s="20" t="n">
        <x:v>46114</x:v>
      </x:c>
      <x:c r="F125" s="24" t="n">
        <x:v>41</x:v>
      </x:c>
      <x:c r="G125" s="24" t="n">
        <x:v>4.7</x:v>
      </x:c>
      <x:c r="H125" s="22" t="n">
        <x:v>1120.45</x:v>
      </x:c>
      <x:c r="I125" s="24" t="str">
        <x:v>Delivered</x:v>
      </x:c>
      <x:c r="J125" s="24" t="str">
        <x:f>XLOOKUP(B125,Restaurants!$A$4:$A$18,Restaurants!$B$4:$B$18,"Unknown")</x:f>
        <x:v>Burger Barn</x:v>
      </x:c>
      <x:c r="K125" s="24" t="str">
        <x:f>XLOOKUP(B125,Restaurants!$A$4:$A$18,Restaurants!$D$4:$D$18,"Unknown")</x:f>
        <x:v>Dine-in</x:v>
      </x:c>
      <x:c r="L125" s="24" t="str">
        <x:f>IF(AND(I125="Delivered",F125&lt;=40),"On-Time",IF(I125="Cancelled","Cancelled","Review"))</x:f>
        <x:v>Review</x:v>
      </x:c>
    </x:row>
    <x:row r="126">
      <x:c r="A126" s="24" t="str">
        <x:v>CAP-0123</x:v>
      </x:c>
      <x:c r="B126" s="24" t="str">
        <x:v>CR011</x:v>
      </x:c>
      <x:c r="C126" s="24" t="str">
        <x:v>Italian</x:v>
      </x:c>
      <x:c r="D126" s="24" t="str">
        <x:v>North</x:v>
      </x:c>
      <x:c r="E126" s="20" t="n">
        <x:v>46165</x:v>
      </x:c>
      <x:c r="F126" s="24" t="n">
        <x:v>18</x:v>
      </x:c>
      <x:c r="G126" s="24" t="n">
        <x:v>4.7</x:v>
      </x:c>
      <x:c r="H126" s="22" t="n">
        <x:v>1007.48</x:v>
      </x:c>
      <x:c r="I126" s="24" t="str">
        <x:v>Delivered</x:v>
      </x:c>
      <x:c r="J126" s="24" t="str">
        <x:f>XLOOKUP(B126,Restaurants!$A$4:$A$18,Restaurants!$B$4:$B$18,"Unknown")</x:f>
        <x:v>Kebab Kingdom</x:v>
      </x:c>
      <x:c r="K126" s="24" t="str">
        <x:f>XLOOKUP(B126,Restaurants!$A$4:$A$18,Restaurants!$D$4:$D$18,"Unknown")</x:f>
        <x:v>Dine-in</x:v>
      </x:c>
      <x:c r="L126" s="24" t="str">
        <x:f>IF(AND(I126="Delivered",F126&lt;=40),"On-Time",IF(I126="Cancelled","Cancelled","Review"))</x:f>
        <x:v>On-Time</x:v>
      </x:c>
    </x:row>
    <x:row r="127">
      <x:c r="A127" s="24" t="str">
        <x:v>CAP-0124</x:v>
      </x:c>
      <x:c r="B127" s="24" t="str">
        <x:v>CR002</x:v>
      </x:c>
      <x:c r="C127" s="24" t="str">
        <x:v>North Indian</x:v>
      </x:c>
      <x:c r="D127" s="24" t="str">
        <x:v>South</x:v>
      </x:c>
      <x:c r="E127" s="20" t="n">
        <x:v>46141</x:v>
      </x:c>
      <x:c r="F127" s="24" t="n">
        <x:v>35</x:v>
      </x:c>
      <x:c r="G127" s="24" t="n">
        <x:v>4.9</x:v>
      </x:c>
      <x:c r="H127" s="22" t="n">
        <x:v>510.72</x:v>
      </x:c>
      <x:c r="I127" s="24" t="str">
        <x:v>Delivered</x:v>
      </x:c>
      <x:c r="J127" s="24" t="str">
        <x:f>XLOOKUP(B127,Restaurants!$A$4:$A$18,Restaurants!$B$4:$B$18,"Unknown")</x:f>
        <x:v>Dosa District</x:v>
      </x:c>
      <x:c r="K127" s="24" t="str">
        <x:f>XLOOKUP(B127,Restaurants!$A$4:$A$18,Restaurants!$D$4:$D$18,"Unknown")</x:f>
        <x:v>Dine-in</x:v>
      </x:c>
      <x:c r="L127" s="24" t="str">
        <x:f>IF(AND(I127="Delivered",F127&lt;=40),"On-Time",IF(I127="Cancelled","Cancelled","Review"))</x:f>
        <x:v>On-Time</x:v>
      </x:c>
    </x:row>
    <x:row r="128">
      <x:c r="A128" s="24" t="str">
        <x:v>CAP-0125</x:v>
      </x:c>
      <x:c r="B128" s="24" t="str">
        <x:v>CR008</x:v>
      </x:c>
      <x:c r="C128" s="24" t="str">
        <x:v>Italian</x:v>
      </x:c>
      <x:c r="D128" s="24" t="str">
        <x:v>East</x:v>
      </x:c>
      <x:c r="E128" s="20" t="n">
        <x:v>46183</x:v>
      </x:c>
      <x:c r="F128" s="24" t="n">
        <x:v>29</x:v>
      </x:c>
      <x:c r="G128" s="24" t="n">
        <x:v>4</x:v>
      </x:c>
      <x:c r="H128" s="22" t="n">
        <x:v>1091.81</x:v>
      </x:c>
      <x:c r="I128" s="24" t="str">
        <x:v>Delivered</x:v>
      </x:c>
      <x:c r="J128" s="24" t="str">
        <x:f>XLOOKUP(B128,Restaurants!$A$4:$A$18,Restaurants!$B$4:$B$18,"Unknown")</x:f>
        <x:v>Idli House</x:v>
      </x:c>
      <x:c r="K128" s="24" t="str">
        <x:f>XLOOKUP(B128,Restaurants!$A$4:$A$18,Restaurants!$D$4:$D$18,"Unknown")</x:f>
        <x:v>Dine-in</x:v>
      </x:c>
      <x:c r="L128" s="24" t="str">
        <x:f>IF(AND(I128="Delivered",F128&lt;=40),"On-Time",IF(I128="Cancelled","Cancelled","Review"))</x:f>
        <x:v>On-Time</x:v>
      </x:c>
    </x:row>
    <x:row r="129">
      <x:c r="A129" s="24" t="str">
        <x:v>CAP-0126</x:v>
      </x:c>
      <x:c r="B129" s="24" t="str">
        <x:v>CR006</x:v>
      </x:c>
      <x:c r="C129" s="24" t="str">
        <x:v>North Indian</x:v>
      </x:c>
      <x:c r="D129" s="24" t="str">
        <x:v>North</x:v>
      </x:c>
      <x:c r="E129" s="20" t="n">
        <x:v>46169</x:v>
      </x:c>
      <x:c r="F129" s="24" t="n">
        <x:v>43</x:v>
      </x:c>
      <x:c r="G129" s="24" t="n">
        <x:v>4.2</x:v>
      </x:c>
      <x:c r="H129" s="22" t="n">
        <x:v>1536.61</x:v>
      </x:c>
      <x:c r="I129" s="24" t="str">
        <x:v>Delivered</x:v>
      </x:c>
      <x:c r="J129" s="24" t="str">
        <x:f>XLOOKUP(B129,Restaurants!$A$4:$A$18,Restaurants!$B$4:$B$18,"Unknown")</x:f>
        <x:v>Tandoor Town</x:v>
      </x:c>
      <x:c r="K129" s="24" t="str">
        <x:f>XLOOKUP(B129,Restaurants!$A$4:$A$18,Restaurants!$D$4:$D$18,"Unknown")</x:f>
        <x:v>QSR</x:v>
      </x:c>
      <x:c r="L129" s="24" t="str">
        <x:f>IF(AND(I129="Delivered",F129&lt;=40),"On-Time",IF(I129="Cancelled","Cancelled","Review"))</x:f>
        <x:v>Review</x:v>
      </x:c>
    </x:row>
    <x:row r="130">
      <x:c r="A130" s="24" t="str">
        <x:v>CAP-0127</x:v>
      </x:c>
      <x:c r="B130" s="24" t="str">
        <x:v>CR013</x:v>
      </x:c>
      <x:c r="C130" s="24" t="str">
        <x:v>South Indian</x:v>
      </x:c>
      <x:c r="D130" s="24" t="str">
        <x:v>East</x:v>
      </x:c>
      <x:c r="E130" s="20" t="n">
        <x:v>46151</x:v>
      </x:c>
      <x:c r="F130" s="24" t="n">
        <x:v>64</x:v>
      </x:c>
      <x:c r="G130" s="24" t="n">
        <x:v>3.6</x:v>
      </x:c>
      <x:c r="H130" s="22" t="n">
        <x:v>1586.41</x:v>
      </x:c>
      <x:c r="I130" s="24" t="str">
        <x:v>Delayed</x:v>
      </x:c>
      <x:c r="J130" s="24" t="str">
        <x:f>XLOOKUP(B130,Restaurants!$A$4:$A$18,Restaurants!$B$4:$B$18,"Unknown")</x:f>
        <x:v>Thali Trails</x:v>
      </x:c>
      <x:c r="K130" s="24" t="str">
        <x:f>XLOOKUP(B130,Restaurants!$A$4:$A$18,Restaurants!$D$4:$D$18,"Unknown")</x:f>
        <x:v>Cloud Kitchen</x:v>
      </x:c>
      <x:c r="L130" s="24" t="str">
        <x:f>IF(AND(I130="Delivered",F130&lt;=40),"On-Time",IF(I130="Cancelled","Cancelled","Review"))</x:f>
        <x:v>Review</x:v>
      </x:c>
    </x:row>
    <x:row r="131">
      <x:c r="A131" s="24" t="str">
        <x:v>CAP-0128</x:v>
      </x:c>
      <x:c r="B131" s="24" t="str">
        <x:v>CR002</x:v>
      </x:c>
      <x:c r="C131" s="24" t="str">
        <x:v>Italian</x:v>
      </x:c>
      <x:c r="D131" s="24" t="str">
        <x:v>South</x:v>
      </x:c>
      <x:c r="E131" s="20" t="n">
        <x:v>46128</x:v>
      </x:c>
      <x:c r="F131" s="24" t="n">
        <x:v>39</x:v>
      </x:c>
      <x:c r="G131" s="24" t="n">
        <x:v>5</x:v>
      </x:c>
      <x:c r="H131" s="22" t="n">
        <x:v>1161.28</x:v>
      </x:c>
      <x:c r="I131" s="24" t="str">
        <x:v>Delivered</x:v>
      </x:c>
      <x:c r="J131" s="24" t="str">
        <x:f>XLOOKUP(B131,Restaurants!$A$4:$A$18,Restaurants!$B$4:$B$18,"Unknown")</x:f>
        <x:v>Dosa District</x:v>
      </x:c>
      <x:c r="K131" s="24" t="str">
        <x:f>XLOOKUP(B131,Restaurants!$A$4:$A$18,Restaurants!$D$4:$D$18,"Unknown")</x:f>
        <x:v>Dine-in</x:v>
      </x:c>
      <x:c r="L131" s="24" t="str">
        <x:f>IF(AND(I131="Delivered",F131&lt;=40),"On-Time",IF(I131="Cancelled","Cancelled","Review"))</x:f>
        <x:v>On-Time</x:v>
      </x:c>
    </x:row>
    <x:row r="132">
      <x:c r="A132" s="24" t="str">
        <x:v>CAP-0129</x:v>
      </x:c>
      <x:c r="B132" s="24" t="str">
        <x:v>CR006</x:v>
      </x:c>
      <x:c r="C132" s="24" t="str">
        <x:v>Italian</x:v>
      </x:c>
      <x:c r="D132" s="24" t="str">
        <x:v>North</x:v>
      </x:c>
      <x:c r="E132" s="20" t="n">
        <x:v>46134</x:v>
      </x:c>
      <x:c r="F132" s="24" t="n">
        <x:v>42</x:v>
      </x:c>
      <x:c r="G132" s="24" t="n">
        <x:v>3.2</x:v>
      </x:c>
      <x:c r="H132" s="22" t="n">
        <x:v>1498.43</x:v>
      </x:c>
      <x:c r="I132" s="24" t="str">
        <x:v>Delivered</x:v>
      </x:c>
      <x:c r="J132" s="24" t="str">
        <x:f>XLOOKUP(B132,Restaurants!$A$4:$A$18,Restaurants!$B$4:$B$18,"Unknown")</x:f>
        <x:v>Tandoor Town</x:v>
      </x:c>
      <x:c r="K132" s="24" t="str">
        <x:f>XLOOKUP(B132,Restaurants!$A$4:$A$18,Restaurants!$D$4:$D$18,"Unknown")</x:f>
        <x:v>QSR</x:v>
      </x:c>
      <x:c r="L132" s="24" t="str">
        <x:f>IF(AND(I132="Delivered",F132&lt;=40),"On-Time",IF(I132="Cancelled","Cancelled","Review"))</x:f>
        <x:v>Review</x:v>
      </x:c>
    </x:row>
    <x:row r="133">
      <x:c r="A133" s="24" t="str">
        <x:v>CAP-0130</x:v>
      </x:c>
      <x:c r="B133" s="24" t="str">
        <x:v>CR010</x:v>
      </x:c>
      <x:c r="C133" s="24" t="str">
        <x:v>Chinese</x:v>
      </x:c>
      <x:c r="D133" s="24" t="str">
        <x:v>Central</x:v>
      </x:c>
      <x:c r="E133" s="20" t="n">
        <x:v>46181</x:v>
      </x:c>
      <x:c r="F133" s="24" t="n">
        <x:v>27</x:v>
      </x:c>
      <x:c r="G133" s="24" t="n">
        <x:v>4.1</x:v>
      </x:c>
      <x:c r="H133" s="22" t="n">
        <x:v>1341.28</x:v>
      </x:c>
      <x:c r="I133" s="24" t="str">
        <x:v>Delivered</x:v>
      </x:c>
      <x:c r="J133" s="24" t="str">
        <x:f>XLOOKUP(B133,Restaurants!$A$4:$A$18,Restaurants!$B$4:$B$18,"Unknown")</x:f>
        <x:v>Pizza Point</x:v>
      </x:c>
      <x:c r="K133" s="24" t="str">
        <x:f>XLOOKUP(B133,Restaurants!$A$4:$A$18,Restaurants!$D$4:$D$18,"Unknown")</x:f>
        <x:v>Cloud Kitchen</x:v>
      </x:c>
      <x:c r="L133" s="24" t="str">
        <x:f>IF(AND(I133="Delivered",F133&lt;=40),"On-Time",IF(I133="Cancelled","Cancelled","Review"))</x:f>
        <x:v>On-Time</x:v>
      </x:c>
    </x:row>
    <x:row r="134">
      <x:c r="A134" s="24" t="str">
        <x:v>CAP-0131</x:v>
      </x:c>
      <x:c r="B134" s="24" t="str">
        <x:v>CR005</x:v>
      </x:c>
      <x:c r="C134" s="24" t="str">
        <x:v>Chinese</x:v>
      </x:c>
      <x:c r="D134" s="24" t="str">
        <x:v>Central</x:v>
      </x:c>
      <x:c r="E134" s="20" t="n">
        <x:v>46178</x:v>
      </x:c>
      <x:c r="F134" s="24" t="n">
        <x:v>52</x:v>
      </x:c>
      <x:c r="G134" s="24" t="n">
        <x:v>3.3</x:v>
      </x:c>
      <x:c r="H134" s="22" t="n">
        <x:v>1742.3</x:v>
      </x:c>
      <x:c r="I134" s="24" t="str">
        <x:v>Delayed</x:v>
      </x:c>
      <x:c r="J134" s="24" t="str">
        <x:f>XLOOKUP(B134,Restaurants!$A$4:$A$18,Restaurants!$B$4:$B$18,"Unknown")</x:f>
        <x:v>Biryani Bay</x:v>
      </x:c>
      <x:c r="K134" s="24" t="str">
        <x:f>XLOOKUP(B134,Restaurants!$A$4:$A$18,Restaurants!$D$4:$D$18,"Unknown")</x:f>
        <x:v>Dine-in</x:v>
      </x:c>
      <x:c r="L134" s="24" t="str">
        <x:f>IF(AND(I134="Delivered",F134&lt;=40),"On-Time",IF(I134="Cancelled","Cancelled","Review"))</x:f>
        <x:v>Review</x:v>
      </x:c>
    </x:row>
    <x:row r="135">
      <x:c r="A135" s="24" t="str">
        <x:v>CAP-0132</x:v>
      </x:c>
      <x:c r="B135" s="24" t="str">
        <x:v>CR013</x:v>
      </x:c>
      <x:c r="C135" s="24" t="str">
        <x:v>Italian</x:v>
      </x:c>
      <x:c r="D135" s="24" t="str">
        <x:v>East</x:v>
      </x:c>
      <x:c r="E135" s="20" t="n">
        <x:v>46120</x:v>
      </x:c>
      <x:c r="F135" s="24" t="n">
        <x:v>59</x:v>
      </x:c>
      <x:c r="G135" s="24" t="n">
        <x:v>3.3</x:v>
      </x:c>
      <x:c r="H135" s="22" t="n">
        <x:v>1592.42</x:v>
      </x:c>
      <x:c r="I135" s="24" t="str">
        <x:v>Delayed</x:v>
      </x:c>
      <x:c r="J135" s="24" t="str">
        <x:f>XLOOKUP(B135,Restaurants!$A$4:$A$18,Restaurants!$B$4:$B$18,"Unknown")</x:f>
        <x:v>Thali Trails</x:v>
      </x:c>
      <x:c r="K135" s="24" t="str">
        <x:f>XLOOKUP(B135,Restaurants!$A$4:$A$18,Restaurants!$D$4:$D$18,"Unknown")</x:f>
        <x:v>Cloud Kitchen</x:v>
      </x:c>
      <x:c r="L135" s="24" t="str">
        <x:f>IF(AND(I135="Delivered",F135&lt;=40),"On-Time",IF(I135="Cancelled","Cancelled","Review"))</x:f>
        <x:v>Review</x:v>
      </x:c>
    </x:row>
    <x:row r="136">
      <x:c r="A136" s="24" t="str">
        <x:v>CAP-0133</x:v>
      </x:c>
      <x:c r="B136" s="24" t="str">
        <x:v>CR004</x:v>
      </x:c>
      <x:c r="C136" s="24" t="str">
        <x:v>South Indian</x:v>
      </x:c>
      <x:c r="D136" s="24" t="str">
        <x:v>West</x:v>
      </x:c>
      <x:c r="E136" s="20" t="n">
        <x:v>46154</x:v>
      </x:c>
      <x:c r="F136" s="24" t="n">
        <x:v>56</x:v>
      </x:c>
      <x:c r="G136" s="24" t="n">
        <x:v>2.7</x:v>
      </x:c>
      <x:c r="H136" s="22" t="n">
        <x:v>1008.66</x:v>
      </x:c>
      <x:c r="I136" s="24" t="str">
        <x:v>Cancelled</x:v>
      </x:c>
      <x:c r="J136" s="24" t="str">
        <x:f>XLOOKUP(B136,Restaurants!$A$4:$A$18,Restaurants!$B$4:$B$18,"Unknown")</x:f>
        <x:v>Pasta Plaza</x:v>
      </x:c>
      <x:c r="K136" s="24" t="str">
        <x:f>XLOOKUP(B136,Restaurants!$A$4:$A$18,Restaurants!$D$4:$D$18,"Unknown")</x:f>
        <x:v>Cloud Kitchen</x:v>
      </x:c>
      <x:c r="L136" s="24" t="str">
        <x:f>IF(AND(I136="Delivered",F136&lt;=40),"On-Time",IF(I136="Cancelled","Cancelled","Review"))</x:f>
        <x:v>Cancelled</x:v>
      </x:c>
    </x:row>
    <x:row r="137">
      <x:c r="A137" s="24" t="str">
        <x:v>CAP-0134</x:v>
      </x:c>
      <x:c r="B137" s="24" t="str">
        <x:v>CR010</x:v>
      </x:c>
      <x:c r="C137" s="24" t="str">
        <x:v>Chinese</x:v>
      </x:c>
      <x:c r="D137" s="24" t="str">
        <x:v>Central</x:v>
      </x:c>
      <x:c r="E137" s="20" t="n">
        <x:v>46193</x:v>
      </x:c>
      <x:c r="F137" s="24" t="n">
        <x:v>21</x:v>
      </x:c>
      <x:c r="G137" s="24" t="n">
        <x:v>4.4</x:v>
      </x:c>
      <x:c r="H137" s="22" t="n">
        <x:v>1614.19</x:v>
      </x:c>
      <x:c r="I137" s="24" t="str">
        <x:v>Delivered</x:v>
      </x:c>
      <x:c r="J137" s="24" t="str">
        <x:f>XLOOKUP(B137,Restaurants!$A$4:$A$18,Restaurants!$B$4:$B$18,"Unknown")</x:f>
        <x:v>Pizza Point</x:v>
      </x:c>
      <x:c r="K137" s="24" t="str">
        <x:f>XLOOKUP(B137,Restaurants!$A$4:$A$18,Restaurants!$D$4:$D$18,"Unknown")</x:f>
        <x:v>Cloud Kitchen</x:v>
      </x:c>
      <x:c r="L137" s="24" t="str">
        <x:f>IF(AND(I137="Delivered",F137&lt;=40),"On-Time",IF(I137="Cancelled","Cancelled","Review"))</x:f>
        <x:v>On-Time</x:v>
      </x:c>
    </x:row>
    <x:row r="138">
      <x:c r="A138" s="24" t="str">
        <x:v>CAP-0135</x:v>
      </x:c>
      <x:c r="B138" s="24" t="str">
        <x:v>CR002</x:v>
      </x:c>
      <x:c r="C138" s="24" t="str">
        <x:v>Italian</x:v>
      </x:c>
      <x:c r="D138" s="24" t="str">
        <x:v>South</x:v>
      </x:c>
      <x:c r="E138" s="20" t="n">
        <x:v>46178</x:v>
      </x:c>
      <x:c r="F138" s="24" t="n">
        <x:v>29</x:v>
      </x:c>
      <x:c r="G138" s="24" t="n">
        <x:v>3.1</x:v>
      </x:c>
      <x:c r="H138" s="22" t="n">
        <x:v>954.78</x:v>
      </x:c>
      <x:c r="I138" s="24" t="str">
        <x:v>Delivered</x:v>
      </x:c>
      <x:c r="J138" s="24" t="str">
        <x:f>XLOOKUP(B138,Restaurants!$A$4:$A$18,Restaurants!$B$4:$B$18,"Unknown")</x:f>
        <x:v>Dosa District</x:v>
      </x:c>
      <x:c r="K138" s="24" t="str">
        <x:f>XLOOKUP(B138,Restaurants!$A$4:$A$18,Restaurants!$D$4:$D$18,"Unknown")</x:f>
        <x:v>Dine-in</x:v>
      </x:c>
      <x:c r="L138" s="24" t="str">
        <x:f>IF(AND(I138="Delivered",F138&lt;=40),"On-Time",IF(I138="Cancelled","Cancelled","Review"))</x:f>
        <x:v>On-Time</x:v>
      </x:c>
    </x:row>
    <x:row r="139">
      <x:c r="A139" s="24" t="str">
        <x:v>CAP-0136</x:v>
      </x:c>
      <x:c r="B139" s="24" t="str">
        <x:v>CR008</x:v>
      </x:c>
      <x:c r="C139" s="24" t="str">
        <x:v>Chinese</x:v>
      </x:c>
      <x:c r="D139" s="24" t="str">
        <x:v>East</x:v>
      </x:c>
      <x:c r="E139" s="20" t="n">
        <x:v>46187</x:v>
      </x:c>
      <x:c r="F139" s="24" t="n">
        <x:v>40</x:v>
      </x:c>
      <x:c r="G139" s="24" t="n">
        <x:v>3.3</x:v>
      </x:c>
      <x:c r="H139" s="22" t="n">
        <x:v>1382.94</x:v>
      </x:c>
      <x:c r="I139" s="24" t="str">
        <x:v>Delivered</x:v>
      </x:c>
      <x:c r="J139" s="24" t="str">
        <x:f>XLOOKUP(B139,Restaurants!$A$4:$A$18,Restaurants!$B$4:$B$18,"Unknown")</x:f>
        <x:v>Idli House</x:v>
      </x:c>
      <x:c r="K139" s="24" t="str">
        <x:f>XLOOKUP(B139,Restaurants!$A$4:$A$18,Restaurants!$D$4:$D$18,"Unknown")</x:f>
        <x:v>Dine-in</x:v>
      </x:c>
      <x:c r="L139" s="24" t="str">
        <x:f>IF(AND(I139="Delivered",F139&lt;=40),"On-Time",IF(I139="Cancelled","Cancelled","Review"))</x:f>
        <x:v>On-Time</x:v>
      </x:c>
    </x:row>
    <x:row r="140">
      <x:c r="A140" s="24" t="str">
        <x:v>CAP-0137</x:v>
      </x:c>
      <x:c r="B140" s="24" t="str">
        <x:v>CR008</x:v>
      </x:c>
      <x:c r="C140" s="24" t="str">
        <x:v>Chinese</x:v>
      </x:c>
      <x:c r="D140" s="24" t="str">
        <x:v>East</x:v>
      </x:c>
      <x:c r="E140" s="20" t="n">
        <x:v>46121</x:v>
      </x:c>
      <x:c r="F140" s="24" t="n">
        <x:v>29</x:v>
      </x:c>
      <x:c r="G140" s="24" t="n">
        <x:v>4.4</x:v>
      </x:c>
      <x:c r="H140" s="22" t="n">
        <x:v>1528.51</x:v>
      </x:c>
      <x:c r="I140" s="24" t="str">
        <x:v>Cancelled</x:v>
      </x:c>
      <x:c r="J140" s="24" t="str">
        <x:f>XLOOKUP(B140,Restaurants!$A$4:$A$18,Restaurants!$B$4:$B$18,"Unknown")</x:f>
        <x:v>Idli House</x:v>
      </x:c>
      <x:c r="K140" s="24" t="str">
        <x:f>XLOOKUP(B140,Restaurants!$A$4:$A$18,Restaurants!$D$4:$D$18,"Unknown")</x:f>
        <x:v>Dine-in</x:v>
      </x:c>
      <x:c r="L140" s="24" t="str">
        <x:f>IF(AND(I140="Delivered",F140&lt;=40),"On-Time",IF(I140="Cancelled","Cancelled","Review"))</x:f>
        <x:v>Cancelled</x:v>
      </x:c>
    </x:row>
    <x:row r="141">
      <x:c r="A141" s="24" t="str">
        <x:v>CAP-0138</x:v>
      </x:c>
      <x:c r="B141" s="24" t="str">
        <x:v>CR008</x:v>
      </x:c>
      <x:c r="C141" s="24" t="str">
        <x:v>Chinese</x:v>
      </x:c>
      <x:c r="D141" s="24" t="str">
        <x:v>East</x:v>
      </x:c>
      <x:c r="E141" s="20" t="n">
        <x:v>46154</x:v>
      </x:c>
      <x:c r="F141" s="24" t="n">
        <x:v>46</x:v>
      </x:c>
      <x:c r="G141" s="24" t="n">
        <x:v>4.1</x:v>
      </x:c>
      <x:c r="H141" s="22" t="n">
        <x:v>1127.52</x:v>
      </x:c>
      <x:c r="I141" s="24" t="str">
        <x:v>Cancelled</x:v>
      </x:c>
      <x:c r="J141" s="24" t="str">
        <x:f>XLOOKUP(B141,Restaurants!$A$4:$A$18,Restaurants!$B$4:$B$18,"Unknown")</x:f>
        <x:v>Idli House</x:v>
      </x:c>
      <x:c r="K141" s="24" t="str">
        <x:f>XLOOKUP(B141,Restaurants!$A$4:$A$18,Restaurants!$D$4:$D$18,"Unknown")</x:f>
        <x:v>Dine-in</x:v>
      </x:c>
      <x:c r="L141" s="24" t="str">
        <x:f>IF(AND(I141="Delivered",F141&lt;=40),"On-Time",IF(I141="Cancelled","Cancelled","Review"))</x:f>
        <x:v>Cancelled</x:v>
      </x:c>
    </x:row>
    <x:row r="142">
      <x:c r="A142" s="24" t="str">
        <x:v>CAP-0139</x:v>
      </x:c>
      <x:c r="B142" s="24" t="str">
        <x:v>CR008</x:v>
      </x:c>
      <x:c r="C142" s="24" t="str">
        <x:v>Chinese</x:v>
      </x:c>
      <x:c r="D142" s="24" t="str">
        <x:v>East</x:v>
      </x:c>
      <x:c r="E142" s="20" t="n">
        <x:v>46200</x:v>
      </x:c>
      <x:c r="F142" s="24" t="n">
        <x:v>54</x:v>
      </x:c>
      <x:c r="G142" s="24" t="n">
        <x:v>4.4</x:v>
      </x:c>
      <x:c r="H142" s="22" t="n">
        <x:v>1546.89</x:v>
      </x:c>
      <x:c r="I142" s="24" t="str">
        <x:v>Delivered</x:v>
      </x:c>
      <x:c r="J142" s="24" t="str">
        <x:f>XLOOKUP(B142,Restaurants!$A$4:$A$18,Restaurants!$B$4:$B$18,"Unknown")</x:f>
        <x:v>Idli House</x:v>
      </x:c>
      <x:c r="K142" s="24" t="str">
        <x:f>XLOOKUP(B142,Restaurants!$A$4:$A$18,Restaurants!$D$4:$D$18,"Unknown")</x:f>
        <x:v>Dine-in</x:v>
      </x:c>
      <x:c r="L142" s="24" t="str">
        <x:f>IF(AND(I142="Delivered",F142&lt;=40),"On-Time",IF(I142="Cancelled","Cancelled","Review"))</x:f>
        <x:v>Review</x:v>
      </x:c>
    </x:row>
    <x:row r="143">
      <x:c r="A143" s="24" t="str">
        <x:v>CAP-0140</x:v>
      </x:c>
      <x:c r="B143" s="24" t="str">
        <x:v>CR001</x:v>
      </x:c>
      <x:c r="C143" s="24" t="str">
        <x:v>North Indian</x:v>
      </x:c>
      <x:c r="D143" s="24" t="str">
        <x:v>North</x:v>
      </x:c>
      <x:c r="E143" s="20" t="n">
        <x:v>46133</x:v>
      </x:c>
      <x:c r="F143" s="24" t="n">
        <x:v>68</x:v>
      </x:c>
      <x:c r="G143" s="24" t="n">
        <x:v>4.2</x:v>
      </x:c>
      <x:c r="H143" s="22" t="n">
        <x:v>563.59</x:v>
      </x:c>
      <x:c r="I143" s="24" t="str">
        <x:v>Delivered</x:v>
      </x:c>
      <x:c r="J143" s="24" t="str">
        <x:f>XLOOKUP(B143,Restaurants!$A$4:$A$18,Restaurants!$B$4:$B$18,"Unknown")</x:f>
        <x:v>Spice Route</x:v>
      </x:c>
      <x:c r="K143" s="24" t="str">
        <x:f>XLOOKUP(B143,Restaurants!$A$4:$A$18,Restaurants!$D$4:$D$18,"Unknown")</x:f>
        <x:v>Cloud Kitchen</x:v>
      </x:c>
      <x:c r="L143" s="24" t="str">
        <x:f>IF(AND(I143="Delivered",F143&lt;=40),"On-Time",IF(I143="Cancelled","Cancelled","Review"))</x:f>
        <x:v>Review</x:v>
      </x:c>
    </x:row>
    <x:row r="144">
      <x:c r="A144" s="24" t="str">
        <x:v>CAP-0141</x:v>
      </x:c>
      <x:c r="B144" s="24" t="str">
        <x:v>CR012</x:v>
      </x:c>
      <x:c r="C144" s="24" t="str">
        <x:v>South Indian</x:v>
      </x:c>
      <x:c r="D144" s="24" t="str">
        <x:v>South</x:v>
      </x:c>
      <x:c r="E144" s="20" t="n">
        <x:v>46196</x:v>
      </x:c>
      <x:c r="F144" s="24" t="n">
        <x:v>55</x:v>
      </x:c>
      <x:c r="G144" s="24" t="n">
        <x:v>3.4</x:v>
      </x:c>
      <x:c r="H144" s="22" t="n">
        <x:v>394.68</x:v>
      </x:c>
      <x:c r="I144" s="24" t="str">
        <x:v>Delivered</x:v>
      </x:c>
      <x:c r="J144" s="24" t="str">
        <x:f>XLOOKUP(B144,Restaurants!$A$4:$A$18,Restaurants!$B$4:$B$18,"Unknown")</x:f>
        <x:v>Sushi Street</x:v>
      </x:c>
      <x:c r="K144" s="24" t="str">
        <x:f>XLOOKUP(B144,Restaurants!$A$4:$A$18,Restaurants!$D$4:$D$18,"Unknown")</x:f>
        <x:v>QSR</x:v>
      </x:c>
      <x:c r="L144" s="24" t="str">
        <x:f>IF(AND(I144="Delivered",F144&lt;=40),"On-Time",IF(I144="Cancelled","Cancelled","Review"))</x:f>
        <x:v>Review</x:v>
      </x:c>
    </x:row>
    <x:row r="145">
      <x:c r="A145" s="24" t="str">
        <x:v>CAP-0142</x:v>
      </x:c>
      <x:c r="B145" s="24" t="str">
        <x:v>CR006</x:v>
      </x:c>
      <x:c r="C145" s="24" t="str">
        <x:v>Chinese</x:v>
      </x:c>
      <x:c r="D145" s="24" t="str">
        <x:v>North</x:v>
      </x:c>
      <x:c r="E145" s="20" t="n">
        <x:v>46123</x:v>
      </x:c>
      <x:c r="F145" s="24" t="n">
        <x:v>43</x:v>
      </x:c>
      <x:c r="G145" s="24" t="n">
        <x:v>4</x:v>
      </x:c>
      <x:c r="H145" s="22" t="n">
        <x:v>864.33</x:v>
      </x:c>
      <x:c r="I145" s="24" t="str">
        <x:v>Delivered</x:v>
      </x:c>
      <x:c r="J145" s="24" t="str">
        <x:f>XLOOKUP(B145,Restaurants!$A$4:$A$18,Restaurants!$B$4:$B$18,"Unknown")</x:f>
        <x:v>Tandoor Town</x:v>
      </x:c>
      <x:c r="K145" s="24" t="str">
        <x:f>XLOOKUP(B145,Restaurants!$A$4:$A$18,Restaurants!$D$4:$D$18,"Unknown")</x:f>
        <x:v>QSR</x:v>
      </x:c>
      <x:c r="L145" s="24" t="str">
        <x:f>IF(AND(I145="Delivered",F145&lt;=40),"On-Time",IF(I145="Cancelled","Cancelled","Review"))</x:f>
        <x:v>Review</x:v>
      </x:c>
    </x:row>
    <x:row r="146">
      <x:c r="A146" s="24" t="str">
        <x:v>CAP-0143</x:v>
      </x:c>
      <x:c r="B146" s="24" t="str">
        <x:v>CR005</x:v>
      </x:c>
      <x:c r="C146" s="24" t="str">
        <x:v>South Indian</x:v>
      </x:c>
      <x:c r="D146" s="24" t="str">
        <x:v>Central</x:v>
      </x:c>
      <x:c r="E146" s="20" t="n">
        <x:v>46167</x:v>
      </x:c>
      <x:c r="F146" s="24" t="n">
        <x:v>37</x:v>
      </x:c>
      <x:c r="G146" s="24" t="n">
        <x:v>4.2</x:v>
      </x:c>
      <x:c r="H146" s="22" t="n">
        <x:v>989.05</x:v>
      </x:c>
      <x:c r="I146" s="24" t="str">
        <x:v>Delivered</x:v>
      </x:c>
      <x:c r="J146" s="24" t="str">
        <x:f>XLOOKUP(B146,Restaurants!$A$4:$A$18,Restaurants!$B$4:$B$18,"Unknown")</x:f>
        <x:v>Biryani Bay</x:v>
      </x:c>
      <x:c r="K146" s="24" t="str">
        <x:f>XLOOKUP(B146,Restaurants!$A$4:$A$18,Restaurants!$D$4:$D$18,"Unknown")</x:f>
        <x:v>Dine-in</x:v>
      </x:c>
      <x:c r="L146" s="24" t="str">
        <x:f>IF(AND(I146="Delivered",F146&lt;=40),"On-Time",IF(I146="Cancelled","Cancelled","Review"))</x:f>
        <x:v>On-Time</x:v>
      </x:c>
    </x:row>
    <x:row r="147">
      <x:c r="A147" s="24" t="str">
        <x:v>CAP-0144</x:v>
      </x:c>
      <x:c r="B147" s="24" t="str">
        <x:v>CR003</x:v>
      </x:c>
      <x:c r="C147" s="24" t="str">
        <x:v>South Indian</x:v>
      </x:c>
      <x:c r="D147" s="24" t="str">
        <x:v>East</x:v>
      </x:c>
      <x:c r="E147" s="20" t="n">
        <x:v>46179</x:v>
      </x:c>
      <x:c r="F147" s="24" t="n">
        <x:v>56</x:v>
      </x:c>
      <x:c r="G147" s="24" t="n">
        <x:v>4.2</x:v>
      </x:c>
      <x:c r="H147" s="22" t="n">
        <x:v>1516.52</x:v>
      </x:c>
      <x:c r="I147" s="24" t="str">
        <x:v>Delivered</x:v>
      </x:c>
      <x:c r="J147" s="24" t="str">
        <x:f>XLOOKUP(B147,Restaurants!$A$4:$A$18,Restaurants!$B$4:$B$18,"Unknown")</x:f>
        <x:v>Wok Works</x:v>
      </x:c>
      <x:c r="K147" s="24" t="str">
        <x:f>XLOOKUP(B147,Restaurants!$A$4:$A$18,Restaurants!$D$4:$D$18,"Unknown")</x:f>
        <x:v>QSR</x:v>
      </x:c>
      <x:c r="L147" s="24" t="str">
        <x:f>IF(AND(I147="Delivered",F147&lt;=40),"On-Time",IF(I147="Cancelled","Cancelled","Review"))</x:f>
        <x:v>Review</x:v>
      </x:c>
    </x:row>
    <x:row r="148">
      <x:c r="A148" s="24" t="str">
        <x:v>CAP-0145</x:v>
      </x:c>
      <x:c r="B148" s="24" t="str">
        <x:v>CR014</x:v>
      </x:c>
      <x:c r="C148" s="24" t="str">
        <x:v>Italian</x:v>
      </x:c>
      <x:c r="D148" s="24" t="str">
        <x:v>West</x:v>
      </x:c>
      <x:c r="E148" s="20" t="n">
        <x:v>46201</x:v>
      </x:c>
      <x:c r="F148" s="24" t="n">
        <x:v>48</x:v>
      </x:c>
      <x:c r="G148" s="24" t="n">
        <x:v>4.4</x:v>
      </x:c>
      <x:c r="H148" s="22" t="n">
        <x:v>1382.68</x:v>
      </x:c>
      <x:c r="I148" s="24" t="str">
        <x:v>Delivered</x:v>
      </x:c>
      <x:c r="J148" s="24" t="str">
        <x:f>XLOOKUP(B148,Restaurants!$A$4:$A$18,Restaurants!$B$4:$B$18,"Unknown")</x:f>
        <x:v>Burger Barn</x:v>
      </x:c>
      <x:c r="K148" s="24" t="str">
        <x:f>XLOOKUP(B148,Restaurants!$A$4:$A$18,Restaurants!$D$4:$D$18,"Unknown")</x:f>
        <x:v>Dine-in</x:v>
      </x:c>
      <x:c r="L148" s="24" t="str">
        <x:f>IF(AND(I148="Delivered",F148&lt;=40),"On-Time",IF(I148="Cancelled","Cancelled","Review"))</x:f>
        <x:v>Review</x:v>
      </x:c>
    </x:row>
    <x:row r="149">
      <x:c r="A149" s="24" t="str">
        <x:v>CAP-0146</x:v>
      </x:c>
      <x:c r="B149" s="24" t="str">
        <x:v>CR002</x:v>
      </x:c>
      <x:c r="C149" s="24" t="str">
        <x:v>North Indian</x:v>
      </x:c>
      <x:c r="D149" s="24" t="str">
        <x:v>South</x:v>
      </x:c>
      <x:c r="E149" s="20" t="n">
        <x:v>46153</x:v>
      </x:c>
      <x:c r="F149" s="24" t="n">
        <x:v>34</x:v>
      </x:c>
      <x:c r="G149" s="24" t="n">
        <x:v>4.7</x:v>
      </x:c>
      <x:c r="H149" s="22" t="n">
        <x:v>1510.72</x:v>
      </x:c>
      <x:c r="I149" s="24" t="str">
        <x:v>Delivered</x:v>
      </x:c>
      <x:c r="J149" s="24" t="str">
        <x:f>XLOOKUP(B149,Restaurants!$A$4:$A$18,Restaurants!$B$4:$B$18,"Unknown")</x:f>
        <x:v>Dosa District</x:v>
      </x:c>
      <x:c r="K149" s="24" t="str">
        <x:f>XLOOKUP(B149,Restaurants!$A$4:$A$18,Restaurants!$D$4:$D$18,"Unknown")</x:f>
        <x:v>Dine-in</x:v>
      </x:c>
      <x:c r="L149" s="24" t="str">
        <x:f>IF(AND(I149="Delivered",F149&lt;=40),"On-Time",IF(I149="Cancelled","Cancelled","Review"))</x:f>
        <x:v>On-Time</x:v>
      </x:c>
    </x:row>
    <x:row r="150">
      <x:c r="A150" s="24" t="str">
        <x:v>CAP-0147</x:v>
      </x:c>
      <x:c r="B150" s="24" t="str">
        <x:v>CR014</x:v>
      </x:c>
      <x:c r="C150" s="24" t="str">
        <x:v>South Indian</x:v>
      </x:c>
      <x:c r="D150" s="24" t="str">
        <x:v>West</x:v>
      </x:c>
      <x:c r="E150" s="20" t="n">
        <x:v>46195</x:v>
      </x:c>
      <x:c r="F150" s="24" t="n">
        <x:v>64</x:v>
      </x:c>
      <x:c r="G150" s="24" t="n">
        <x:v>4</x:v>
      </x:c>
      <x:c r="H150" s="22" t="n">
        <x:v>263.14</x:v>
      </x:c>
      <x:c r="I150" s="24" t="str">
        <x:v>Delayed</x:v>
      </x:c>
      <x:c r="J150" s="24" t="str">
        <x:f>XLOOKUP(B150,Restaurants!$A$4:$A$18,Restaurants!$B$4:$B$18,"Unknown")</x:f>
        <x:v>Burger Barn</x:v>
      </x:c>
      <x:c r="K150" s="24" t="str">
        <x:f>XLOOKUP(B150,Restaurants!$A$4:$A$18,Restaurants!$D$4:$D$18,"Unknown")</x:f>
        <x:v>Dine-in</x:v>
      </x:c>
      <x:c r="L150" s="24" t="str">
        <x:f>IF(AND(I150="Delivered",F150&lt;=40),"On-Time",IF(I150="Cancelled","Cancelled","Review"))</x:f>
        <x:v>Review</x:v>
      </x:c>
    </x:row>
    <x:row r="151">
      <x:c r="A151" s="24" t="str">
        <x:v>CAP-0148</x:v>
      </x:c>
      <x:c r="B151" s="24" t="str">
        <x:v>CR011</x:v>
      </x:c>
      <x:c r="C151" s="24" t="str">
        <x:v>South Indian</x:v>
      </x:c>
      <x:c r="D151" s="24" t="str">
        <x:v>North</x:v>
      </x:c>
      <x:c r="E151" s="20" t="n">
        <x:v>46169</x:v>
      </x:c>
      <x:c r="F151" s="24" t="n">
        <x:v>42</x:v>
      </x:c>
      <x:c r="G151" s="24" t="n">
        <x:v>5</x:v>
      </x:c>
      <x:c r="H151" s="22" t="n">
        <x:v>1675.84</x:v>
      </x:c>
      <x:c r="I151" s="24" t="str">
        <x:v>Delivered</x:v>
      </x:c>
      <x:c r="J151" s="24" t="str">
        <x:f>XLOOKUP(B151,Restaurants!$A$4:$A$18,Restaurants!$B$4:$B$18,"Unknown")</x:f>
        <x:v>Kebab Kingdom</x:v>
      </x:c>
      <x:c r="K151" s="24" t="str">
        <x:f>XLOOKUP(B151,Restaurants!$A$4:$A$18,Restaurants!$D$4:$D$18,"Unknown")</x:f>
        <x:v>Dine-in</x:v>
      </x:c>
      <x:c r="L151" s="24" t="str">
        <x:f>IF(AND(I151="Delivered",F151&lt;=40),"On-Time",IF(I151="Cancelled","Cancelled","Review"))</x:f>
        <x:v>Review</x:v>
      </x:c>
    </x:row>
    <x:row r="152">
      <x:c r="A152" s="24" t="str">
        <x:v>CAP-0149</x:v>
      </x:c>
      <x:c r="B152" s="24" t="str">
        <x:v>CR010</x:v>
      </x:c>
      <x:c r="C152" s="24" t="str">
        <x:v>Italian</x:v>
      </x:c>
      <x:c r="D152" s="24" t="str">
        <x:v>Central</x:v>
      </x:c>
      <x:c r="E152" s="20" t="n">
        <x:v>46140</x:v>
      </x:c>
      <x:c r="F152" s="24" t="n">
        <x:v>54</x:v>
      </x:c>
      <x:c r="G152" s="24" t="n">
        <x:v>4.7</x:v>
      </x:c>
      <x:c r="H152" s="22" t="n">
        <x:v>1163.84</x:v>
      </x:c>
      <x:c r="I152" s="24" t="str">
        <x:v>Delivered</x:v>
      </x:c>
      <x:c r="J152" s="24" t="str">
        <x:f>XLOOKUP(B152,Restaurants!$A$4:$A$18,Restaurants!$B$4:$B$18,"Unknown")</x:f>
        <x:v>Pizza Point</x:v>
      </x:c>
      <x:c r="K152" s="24" t="str">
        <x:f>XLOOKUP(B152,Restaurants!$A$4:$A$18,Restaurants!$D$4:$D$18,"Unknown")</x:f>
        <x:v>Cloud Kitchen</x:v>
      </x:c>
      <x:c r="L152" s="24" t="str">
        <x:f>IF(AND(I152="Delivered",F152&lt;=40),"On-Time",IF(I152="Cancelled","Cancelled","Review"))</x:f>
        <x:v>Review</x:v>
      </x:c>
    </x:row>
    <x:row r="153">
      <x:c r="A153" s="24" t="str">
        <x:v>CAP-0150</x:v>
      </x:c>
      <x:c r="B153" s="24" t="str">
        <x:v>CR007</x:v>
      </x:c>
      <x:c r="C153" s="24" t="str">
        <x:v>Chinese</x:v>
      </x:c>
      <x:c r="D153" s="24" t="str">
        <x:v>South</x:v>
      </x:c>
      <x:c r="E153" s="20" t="n">
        <x:v>46167</x:v>
      </x:c>
      <x:c r="F153" s="24" t="n">
        <x:v>44</x:v>
      </x:c>
      <x:c r="G153" s="24" t="n">
        <x:v>4.5</x:v>
      </x:c>
      <x:c r="H153" s="22" t="n">
        <x:v>380.59</x:v>
      </x:c>
      <x:c r="I153" s="24" t="str">
        <x:v>Delivered</x:v>
      </x:c>
      <x:c r="J153" s="24" t="str">
        <x:f>XLOOKUP(B153,Restaurants!$A$4:$A$18,Restaurants!$B$4:$B$18,"Unknown")</x:f>
        <x:v>Curry Corner</x:v>
      </x:c>
      <x:c r="K153" s="24" t="str">
        <x:f>XLOOKUP(B153,Restaurants!$A$4:$A$18,Restaurants!$D$4:$D$18,"Unknown")</x:f>
        <x:v>Cloud Kitchen</x:v>
      </x:c>
      <x:c r="L153" s="24" t="str">
        <x:f>IF(AND(I153="Delivered",F153&lt;=40),"On-Time",IF(I153="Cancelled","Cancelled","Review"))</x:f>
        <x:v>Review</x:v>
      </x:c>
    </x:row>
    <x:row r="154">
      <x:c r="A154" s="24" t="str">
        <x:v>CAP-0151</x:v>
      </x:c>
      <x:c r="B154" s="24" t="str">
        <x:v>CR009</x:v>
      </x:c>
      <x:c r="C154" s="24" t="str">
        <x:v>Chinese</x:v>
      </x:c>
      <x:c r="D154" s="24" t="str">
        <x:v>West</x:v>
      </x:c>
      <x:c r="E154" s="20" t="n">
        <x:v>46201</x:v>
      </x:c>
      <x:c r="F154" s="24" t="n">
        <x:v>52</x:v>
      </x:c>
      <x:c r="G154" s="24" t="n">
        <x:v>3.3</x:v>
      </x:c>
      <x:c r="H154" s="22" t="n">
        <x:v>568.44</x:v>
      </x:c>
      <x:c r="I154" s="24" t="str">
        <x:v>Delivered</x:v>
      </x:c>
      <x:c r="J154" s="24" t="str">
        <x:f>XLOOKUP(B154,Restaurants!$A$4:$A$18,Restaurants!$B$4:$B$18,"Unknown")</x:f>
        <x:v>Noodle Nest</x:v>
      </x:c>
      <x:c r="K154" s="24" t="str">
        <x:f>XLOOKUP(B154,Restaurants!$A$4:$A$18,Restaurants!$D$4:$D$18,"Unknown")</x:f>
        <x:v>QSR</x:v>
      </x:c>
      <x:c r="L154" s="24" t="str">
        <x:f>IF(AND(I154="Delivered",F154&lt;=40),"On-Time",IF(I154="Cancelled","Cancelled","Review"))</x:f>
        <x:v>Review</x:v>
      </x:c>
    </x:row>
    <x:row r="155">
      <x:c r="A155" s="24" t="str">
        <x:v>CAP-0152</x:v>
      </x:c>
      <x:c r="B155" s="24" t="str">
        <x:v>CR010</x:v>
      </x:c>
      <x:c r="C155" s="24" t="str">
        <x:v>South Indian</x:v>
      </x:c>
      <x:c r="D155" s="24" t="str">
        <x:v>Central</x:v>
      </x:c>
      <x:c r="E155" s="20" t="n">
        <x:v>46163</x:v>
      </x:c>
      <x:c r="F155" s="24" t="n">
        <x:v>62</x:v>
      </x:c>
      <x:c r="G155" s="24" t="n">
        <x:v>4.6</x:v>
      </x:c>
      <x:c r="H155" s="22" t="n">
        <x:v>1729.74</x:v>
      </x:c>
      <x:c r="I155" s="24" t="str">
        <x:v>Delivered</x:v>
      </x:c>
      <x:c r="J155" s="24" t="str">
        <x:f>XLOOKUP(B155,Restaurants!$A$4:$A$18,Restaurants!$B$4:$B$18,"Unknown")</x:f>
        <x:v>Pizza Point</x:v>
      </x:c>
      <x:c r="K155" s="24" t="str">
        <x:f>XLOOKUP(B155,Restaurants!$A$4:$A$18,Restaurants!$D$4:$D$18,"Unknown")</x:f>
        <x:v>Cloud Kitchen</x:v>
      </x:c>
      <x:c r="L155" s="24" t="str">
        <x:f>IF(AND(I155="Delivered",F155&lt;=40),"On-Time",IF(I155="Cancelled","Cancelled","Review"))</x:f>
        <x:v>Review</x:v>
      </x:c>
    </x:row>
    <x:row r="156">
      <x:c r="A156" s="24" t="str">
        <x:v>CAP-0153</x:v>
      </x:c>
      <x:c r="B156" s="24" t="str">
        <x:v>CR008</x:v>
      </x:c>
      <x:c r="C156" s="24" t="str">
        <x:v>Italian</x:v>
      </x:c>
      <x:c r="D156" s="24" t="str">
        <x:v>East</x:v>
      </x:c>
      <x:c r="E156" s="20" t="n">
        <x:v>46127</x:v>
      </x:c>
      <x:c r="F156" s="24" t="n">
        <x:v>35</x:v>
      </x:c>
      <x:c r="G156" s="24" t="n">
        <x:v>4</x:v>
      </x:c>
      <x:c r="H156" s="22" t="n">
        <x:v>1627.52</x:v>
      </x:c>
      <x:c r="I156" s="24" t="str">
        <x:v>Delivered</x:v>
      </x:c>
      <x:c r="J156" s="24" t="str">
        <x:f>XLOOKUP(B156,Restaurants!$A$4:$A$18,Restaurants!$B$4:$B$18,"Unknown")</x:f>
        <x:v>Idli House</x:v>
      </x:c>
      <x:c r="K156" s="24" t="str">
        <x:f>XLOOKUP(B156,Restaurants!$A$4:$A$18,Restaurants!$D$4:$D$18,"Unknown")</x:f>
        <x:v>Dine-in</x:v>
      </x:c>
      <x:c r="L156" s="24" t="str">
        <x:f>IF(AND(I156="Delivered",F156&lt;=40),"On-Time",IF(I156="Cancelled","Cancelled","Review"))</x:f>
        <x:v>On-Time</x:v>
      </x:c>
    </x:row>
    <x:row r="157">
      <x:c r="A157" s="24" t="str">
        <x:v>CAP-0154</x:v>
      </x:c>
      <x:c r="B157" s="24" t="str">
        <x:v>CR001</x:v>
      </x:c>
      <x:c r="C157" s="24" t="str">
        <x:v>Chinese</x:v>
      </x:c>
      <x:c r="D157" s="24" t="str">
        <x:v>North</x:v>
      </x:c>
      <x:c r="E157" s="20" t="n">
        <x:v>46153</x:v>
      </x:c>
      <x:c r="F157" s="24" t="n">
        <x:v>47</x:v>
      </x:c>
      <x:c r="G157" s="24" t="n">
        <x:v>3.7</x:v>
      </x:c>
      <x:c r="H157" s="22" t="n">
        <x:v>816.39</x:v>
      </x:c>
      <x:c r="I157" s="24" t="str">
        <x:v>Delivered</x:v>
      </x:c>
      <x:c r="J157" s="24" t="str">
        <x:f>XLOOKUP(B157,Restaurants!$A$4:$A$18,Restaurants!$B$4:$B$18,"Unknown")</x:f>
        <x:v>Spice Route</x:v>
      </x:c>
      <x:c r="K157" s="24" t="str">
        <x:f>XLOOKUP(B157,Restaurants!$A$4:$A$18,Restaurants!$D$4:$D$18,"Unknown")</x:f>
        <x:v>Cloud Kitchen</x:v>
      </x:c>
      <x:c r="L157" s="24" t="str">
        <x:f>IF(AND(I157="Delivered",F157&lt;=40),"On-Time",IF(I157="Cancelled","Cancelled","Review"))</x:f>
        <x:v>Review</x:v>
      </x:c>
    </x:row>
    <x:row r="158">
      <x:c r="A158" s="24" t="str">
        <x:v>CAP-0155</x:v>
      </x:c>
      <x:c r="B158" s="24" t="str">
        <x:v>CR011</x:v>
      </x:c>
      <x:c r="C158" s="24" t="str">
        <x:v>South Indian</x:v>
      </x:c>
      <x:c r="D158" s="24" t="str">
        <x:v>North</x:v>
      </x:c>
      <x:c r="E158" s="20" t="n">
        <x:v>46173</x:v>
      </x:c>
      <x:c r="F158" s="24" t="n">
        <x:v>55</x:v>
      </x:c>
      <x:c r="G158" s="24" t="n">
        <x:v>3.4</x:v>
      </x:c>
      <x:c r="H158" s="22" t="n">
        <x:v>354.68</x:v>
      </x:c>
      <x:c r="I158" s="24" t="str">
        <x:v>Delayed</x:v>
      </x:c>
      <x:c r="J158" s="24" t="str">
        <x:f>XLOOKUP(B158,Restaurants!$A$4:$A$18,Restaurants!$B$4:$B$18,"Unknown")</x:f>
        <x:v>Kebab Kingdom</x:v>
      </x:c>
      <x:c r="K158" s="24" t="str">
        <x:f>XLOOKUP(B158,Restaurants!$A$4:$A$18,Restaurants!$D$4:$D$18,"Unknown")</x:f>
        <x:v>Dine-in</x:v>
      </x:c>
      <x:c r="L158" s="24" t="str">
        <x:f>IF(AND(I158="Delivered",F158&lt;=40),"On-Time",IF(I158="Cancelled","Cancelled","Review"))</x:f>
        <x:v>Review</x:v>
      </x:c>
    </x:row>
    <x:row r="159">
      <x:c r="A159" s="24" t="str">
        <x:v>CAP-0156</x:v>
      </x:c>
      <x:c r="B159" s="24" t="str">
        <x:v>CR005</x:v>
      </x:c>
      <x:c r="C159" s="24" t="str">
        <x:v>South Indian</x:v>
      </x:c>
      <x:c r="D159" s="24" t="str">
        <x:v>Central</x:v>
      </x:c>
      <x:c r="E159" s="20" t="n">
        <x:v>46118</x:v>
      </x:c>
      <x:c r="F159" s="24" t="n">
        <x:v>66</x:v>
      </x:c>
      <x:c r="G159" s="24" t="n">
        <x:v>3.3</x:v>
      </x:c>
      <x:c r="H159" s="22" t="n">
        <x:v>694.06</x:v>
      </x:c>
      <x:c r="I159" s="24" t="str">
        <x:v>Delayed</x:v>
      </x:c>
      <x:c r="J159" s="24" t="str">
        <x:f>XLOOKUP(B159,Restaurants!$A$4:$A$18,Restaurants!$B$4:$B$18,"Unknown")</x:f>
        <x:v>Biryani Bay</x:v>
      </x:c>
      <x:c r="K159" s="24" t="str">
        <x:f>XLOOKUP(B159,Restaurants!$A$4:$A$18,Restaurants!$D$4:$D$18,"Unknown")</x:f>
        <x:v>Dine-in</x:v>
      </x:c>
      <x:c r="L159" s="24" t="str">
        <x:f>IF(AND(I159="Delivered",F159&lt;=40),"On-Time",IF(I159="Cancelled","Cancelled","Review"))</x:f>
        <x:v>Review</x:v>
      </x:c>
    </x:row>
    <x:row r="160">
      <x:c r="A160" s="24" t="str">
        <x:v>CAP-0157</x:v>
      </x:c>
      <x:c r="B160" s="24" t="str">
        <x:v>CR012</x:v>
      </x:c>
      <x:c r="C160" s="24" t="str">
        <x:v>Italian</x:v>
      </x:c>
      <x:c r="D160" s="24" t="str">
        <x:v>South</x:v>
      </x:c>
      <x:c r="E160" s="20" t="n">
        <x:v>46167</x:v>
      </x:c>
      <x:c r="F160" s="24" t="n">
        <x:v>50</x:v>
      </x:c>
      <x:c r="G160" s="24" t="n">
        <x:v>4.5</x:v>
      </x:c>
      <x:c r="H160" s="22" t="n">
        <x:v>1204.87</x:v>
      </x:c>
      <x:c r="I160" s="24" t="str">
        <x:v>Delivered</x:v>
      </x:c>
      <x:c r="J160" s="24" t="str">
        <x:f>XLOOKUP(B160,Restaurants!$A$4:$A$18,Restaurants!$B$4:$B$18,"Unknown")</x:f>
        <x:v>Sushi Street</x:v>
      </x:c>
      <x:c r="K160" s="24" t="str">
        <x:f>XLOOKUP(B160,Restaurants!$A$4:$A$18,Restaurants!$D$4:$D$18,"Unknown")</x:f>
        <x:v>QSR</x:v>
      </x:c>
      <x:c r="L160" s="24" t="str">
        <x:f>IF(AND(I160="Delivered",F160&lt;=40),"On-Time",IF(I160="Cancelled","Cancelled","Review"))</x:f>
        <x:v>Review</x:v>
      </x:c>
    </x:row>
    <x:row r="161">
      <x:c r="A161" s="24" t="str">
        <x:v>CAP-0158</x:v>
      </x:c>
      <x:c r="B161" s="24" t="str">
        <x:v>CR005</x:v>
      </x:c>
      <x:c r="C161" s="24" t="str">
        <x:v>North Indian</x:v>
      </x:c>
      <x:c r="D161" s="24" t="str">
        <x:v>Central</x:v>
      </x:c>
      <x:c r="E161" s="20" t="n">
        <x:v>46152</x:v>
      </x:c>
      <x:c r="F161" s="24" t="n">
        <x:v>66</x:v>
      </x:c>
      <x:c r="G161" s="24" t="n">
        <x:v>3.5</x:v>
      </x:c>
      <x:c r="H161" s="22" t="n">
        <x:v>490.83</x:v>
      </x:c>
      <x:c r="I161" s="24" t="str">
        <x:v>Delivered</x:v>
      </x:c>
      <x:c r="J161" s="24" t="str">
        <x:f>XLOOKUP(B161,Restaurants!$A$4:$A$18,Restaurants!$B$4:$B$18,"Unknown")</x:f>
        <x:v>Biryani Bay</x:v>
      </x:c>
      <x:c r="K161" s="24" t="str">
        <x:f>XLOOKUP(B161,Restaurants!$A$4:$A$18,Restaurants!$D$4:$D$18,"Unknown")</x:f>
        <x:v>Dine-in</x:v>
      </x:c>
      <x:c r="L161" s="24" t="str">
        <x:f>IF(AND(I161="Delivered",F161&lt;=40),"On-Time",IF(I161="Cancelled","Cancelled","Review"))</x:f>
        <x:v>Review</x:v>
      </x:c>
    </x:row>
    <x:row r="162">
      <x:c r="A162" s="24" t="str">
        <x:v>CAP-0159</x:v>
      </x:c>
      <x:c r="B162" s="24" t="str">
        <x:v>CR006</x:v>
      </x:c>
      <x:c r="C162" s="24" t="str">
        <x:v>Italian</x:v>
      </x:c>
      <x:c r="D162" s="24" t="str">
        <x:v>North</x:v>
      </x:c>
      <x:c r="E162" s="20" t="n">
        <x:v>46188</x:v>
      </x:c>
      <x:c r="F162" s="24" t="n">
        <x:v>47</x:v>
      </x:c>
      <x:c r="G162" s="24" t="n">
        <x:v>3.5</x:v>
      </x:c>
      <x:c r="H162" s="22" t="n">
        <x:v>352.48</x:v>
      </x:c>
      <x:c r="I162" s="24" t="str">
        <x:v>Delivered</x:v>
      </x:c>
      <x:c r="J162" s="24" t="str">
        <x:f>XLOOKUP(B162,Restaurants!$A$4:$A$18,Restaurants!$B$4:$B$18,"Unknown")</x:f>
        <x:v>Tandoor Town</x:v>
      </x:c>
      <x:c r="K162" s="24" t="str">
        <x:f>XLOOKUP(B162,Restaurants!$A$4:$A$18,Restaurants!$D$4:$D$18,"Unknown")</x:f>
        <x:v>QSR</x:v>
      </x:c>
      <x:c r="L162" s="24" t="str">
        <x:f>IF(AND(I162="Delivered",F162&lt;=40),"On-Time",IF(I162="Cancelled","Cancelled","Review"))</x:f>
        <x:v>Review</x:v>
      </x:c>
    </x:row>
    <x:row r="163">
      <x:c r="A163" s="24" t="str">
        <x:v>CAP-0160</x:v>
      </x:c>
      <x:c r="B163" s="24" t="str">
        <x:v>CR012</x:v>
      </x:c>
      <x:c r="C163" s="24" t="str">
        <x:v>Italian</x:v>
      </x:c>
      <x:c r="D163" s="24" t="str">
        <x:v>South</x:v>
      </x:c>
      <x:c r="E163" s="20" t="n">
        <x:v>46143</x:v>
      </x:c>
      <x:c r="F163" s="24" t="n">
        <x:v>48</x:v>
      </x:c>
      <x:c r="G163" s="24" t="n">
        <x:v>4.5</x:v>
      </x:c>
      <x:c r="H163" s="22" t="n">
        <x:v>952.73</x:v>
      </x:c>
      <x:c r="I163" s="24" t="str">
        <x:v>Delivered</x:v>
      </x:c>
      <x:c r="J163" s="24" t="str">
        <x:f>XLOOKUP(B163,Restaurants!$A$4:$A$18,Restaurants!$B$4:$B$18,"Unknown")</x:f>
        <x:v>Sushi Street</x:v>
      </x:c>
      <x:c r="K163" s="24" t="str">
        <x:f>XLOOKUP(B163,Restaurants!$A$4:$A$18,Restaurants!$D$4:$D$18,"Unknown")</x:f>
        <x:v>QSR</x:v>
      </x:c>
      <x:c r="L163" s="24" t="str">
        <x:f>IF(AND(I163="Delivered",F163&lt;=40),"On-Time",IF(I163="Cancelled","Cancelled","Review"))</x:f>
        <x:v>Review</x:v>
      </x:c>
    </x:row>
    <x:row r="164">
      <x:c r="A164" s="24" t="str">
        <x:v>CAP-0161</x:v>
      </x:c>
      <x:c r="B164" s="24" t="str">
        <x:v>CR010</x:v>
      </x:c>
      <x:c r="C164" s="24" t="str">
        <x:v>North Indian</x:v>
      </x:c>
      <x:c r="D164" s="24" t="str">
        <x:v>Central</x:v>
      </x:c>
      <x:c r="E164" s="20" t="n">
        <x:v>46152</x:v>
      </x:c>
      <x:c r="F164" s="24" t="n">
        <x:v>33</x:v>
      </x:c>
      <x:c r="G164" s="24" t="n">
        <x:v>3.9</x:v>
      </x:c>
      <x:c r="H164" s="22" t="n">
        <x:v>269.63</x:v>
      </x:c>
      <x:c r="I164" s="24" t="str">
        <x:v>Delivered</x:v>
      </x:c>
      <x:c r="J164" s="24" t="str">
        <x:f>XLOOKUP(B164,Restaurants!$A$4:$A$18,Restaurants!$B$4:$B$18,"Unknown")</x:f>
        <x:v>Pizza Point</x:v>
      </x:c>
      <x:c r="K164" s="24" t="str">
        <x:f>XLOOKUP(B164,Restaurants!$A$4:$A$18,Restaurants!$D$4:$D$18,"Unknown")</x:f>
        <x:v>Cloud Kitchen</x:v>
      </x:c>
      <x:c r="L164" s="24" t="str">
        <x:f>IF(AND(I164="Delivered",F164&lt;=40),"On-Time",IF(I164="Cancelled","Cancelled","Review"))</x:f>
        <x:v>On-Time</x:v>
      </x:c>
    </x:row>
    <x:row r="165">
      <x:c r="A165" s="24" t="str">
        <x:v>CAP-0162</x:v>
      </x:c>
      <x:c r="B165" s="24" t="str">
        <x:v>CR003</x:v>
      </x:c>
      <x:c r="C165" s="24" t="str">
        <x:v>North Indian</x:v>
      </x:c>
      <x:c r="D165" s="24" t="str">
        <x:v>East</x:v>
      </x:c>
      <x:c r="E165" s="20" t="n">
        <x:v>46133</x:v>
      </x:c>
      <x:c r="F165" s="24" t="n">
        <x:v>29</x:v>
      </x:c>
      <x:c r="G165" s="24" t="n">
        <x:v>4.7</x:v>
      </x:c>
      <x:c r="H165" s="22" t="n">
        <x:v>1524.89</x:v>
      </x:c>
      <x:c r="I165" s="24" t="str">
        <x:v>Delivered</x:v>
      </x:c>
      <x:c r="J165" s="24" t="str">
        <x:f>XLOOKUP(B165,Restaurants!$A$4:$A$18,Restaurants!$B$4:$B$18,"Unknown")</x:f>
        <x:v>Wok Works</x:v>
      </x:c>
      <x:c r="K165" s="24" t="str">
        <x:f>XLOOKUP(B165,Restaurants!$A$4:$A$18,Restaurants!$D$4:$D$18,"Unknown")</x:f>
        <x:v>QSR</x:v>
      </x:c>
      <x:c r="L165" s="24" t="str">
        <x:f>IF(AND(I165="Delivered",F165&lt;=40),"On-Time",IF(I165="Cancelled","Cancelled","Review"))</x:f>
        <x:v>On-Time</x:v>
      </x:c>
    </x:row>
    <x:row r="166">
      <x:c r="A166" s="24" t="str">
        <x:v>CAP-0163</x:v>
      </x:c>
      <x:c r="B166" s="24" t="str">
        <x:v>CR005</x:v>
      </x:c>
      <x:c r="C166" s="24" t="str">
        <x:v>South Indian</x:v>
      </x:c>
      <x:c r="D166" s="24" t="str">
        <x:v>Central</x:v>
      </x:c>
      <x:c r="E166" s="20" t="n">
        <x:v>46160</x:v>
      </x:c>
      <x:c r="F166" s="24" t="n">
        <x:v>39</x:v>
      </x:c>
      <x:c r="G166" s="24" t="n">
        <x:v>3.8</x:v>
      </x:c>
      <x:c r="H166" s="22" t="n">
        <x:v>1623.94</x:v>
      </x:c>
      <x:c r="I166" s="24" t="str">
        <x:v>Delivered</x:v>
      </x:c>
      <x:c r="J166" s="24" t="str">
        <x:f>XLOOKUP(B166,Restaurants!$A$4:$A$18,Restaurants!$B$4:$B$18,"Unknown")</x:f>
        <x:v>Biryani Bay</x:v>
      </x:c>
      <x:c r="K166" s="24" t="str">
        <x:f>XLOOKUP(B166,Restaurants!$A$4:$A$18,Restaurants!$D$4:$D$18,"Unknown")</x:f>
        <x:v>Dine-in</x:v>
      </x:c>
      <x:c r="L166" s="24" t="str">
        <x:f>IF(AND(I166="Delivered",F166&lt;=40),"On-Time",IF(I166="Cancelled","Cancelled","Review"))</x:f>
        <x:v>On-Time</x:v>
      </x:c>
    </x:row>
    <x:row r="167">
      <x:c r="A167" s="24" t="str">
        <x:v>CAP-0164</x:v>
      </x:c>
      <x:c r="B167" s="24" t="str">
        <x:v>CR013</x:v>
      </x:c>
      <x:c r="C167" s="24" t="str">
        <x:v>North Indian</x:v>
      </x:c>
      <x:c r="D167" s="24" t="str">
        <x:v>East</x:v>
      </x:c>
      <x:c r="E167" s="20" t="n">
        <x:v>46155</x:v>
      </x:c>
      <x:c r="F167" s="24" t="n">
        <x:v>54</x:v>
      </x:c>
      <x:c r="G167" s="24" t="n">
        <x:v>3.7</x:v>
      </x:c>
      <x:c r="H167" s="22" t="n">
        <x:v>1354.1</x:v>
      </x:c>
      <x:c r="I167" s="24" t="str">
        <x:v>Cancelled</x:v>
      </x:c>
      <x:c r="J167" s="24" t="str">
        <x:f>XLOOKUP(B167,Restaurants!$A$4:$A$18,Restaurants!$B$4:$B$18,"Unknown")</x:f>
        <x:v>Thali Trails</x:v>
      </x:c>
      <x:c r="K167" s="24" t="str">
        <x:f>XLOOKUP(B167,Restaurants!$A$4:$A$18,Restaurants!$D$4:$D$18,"Unknown")</x:f>
        <x:v>Cloud Kitchen</x:v>
      </x:c>
      <x:c r="L167" s="24" t="str">
        <x:f>IF(AND(I167="Delivered",F167&lt;=40),"On-Time",IF(I167="Cancelled","Cancelled","Review"))</x:f>
        <x:v>Cancelled</x:v>
      </x:c>
    </x:row>
    <x:row r="168">
      <x:c r="A168" s="24" t="str">
        <x:v>CAP-0165</x:v>
      </x:c>
      <x:c r="B168" s="24" t="str">
        <x:v>CR010</x:v>
      </x:c>
      <x:c r="C168" s="24" t="str">
        <x:v>North Indian</x:v>
      </x:c>
      <x:c r="D168" s="24" t="str">
        <x:v>Central</x:v>
      </x:c>
      <x:c r="E168" s="20" t="n">
        <x:v>46176</x:v>
      </x:c>
      <x:c r="F168" s="24" t="n">
        <x:v>28</x:v>
      </x:c>
      <x:c r="G168" s="24" t="n">
        <x:v>4.7</x:v>
      </x:c>
      <x:c r="H168" s="22" t="n">
        <x:v>1128.67</x:v>
      </x:c>
      <x:c r="I168" s="24" t="str">
        <x:v>Delivered</x:v>
      </x:c>
      <x:c r="J168" s="24" t="str">
        <x:f>XLOOKUP(B168,Restaurants!$A$4:$A$18,Restaurants!$B$4:$B$18,"Unknown")</x:f>
        <x:v>Pizza Point</x:v>
      </x:c>
      <x:c r="K168" s="24" t="str">
        <x:f>XLOOKUP(B168,Restaurants!$A$4:$A$18,Restaurants!$D$4:$D$18,"Unknown")</x:f>
        <x:v>Cloud Kitchen</x:v>
      </x:c>
      <x:c r="L168" s="24" t="str">
        <x:f>IF(AND(I168="Delivered",F168&lt;=40),"On-Time",IF(I168="Cancelled","Cancelled","Review"))</x:f>
        <x:v>On-Time</x:v>
      </x:c>
    </x:row>
    <x:row r="169">
      <x:c r="A169" s="24" t="str">
        <x:v>CAP-0166</x:v>
      </x:c>
      <x:c r="B169" s="24" t="str">
        <x:v>CR006</x:v>
      </x:c>
      <x:c r="C169" s="24" t="str">
        <x:v>South Indian</x:v>
      </x:c>
      <x:c r="D169" s="24" t="str">
        <x:v>North</x:v>
      </x:c>
      <x:c r="E169" s="20" t="n">
        <x:v>46145</x:v>
      </x:c>
      <x:c r="F169" s="24" t="n">
        <x:v>52</x:v>
      </x:c>
      <x:c r="G169" s="24" t="n">
        <x:v>3.7</x:v>
      </x:c>
      <x:c r="H169" s="22" t="n">
        <x:v>428.77</x:v>
      </x:c>
      <x:c r="I169" s="24" t="str">
        <x:v>Delivered</x:v>
      </x:c>
      <x:c r="J169" s="24" t="str">
        <x:f>XLOOKUP(B169,Restaurants!$A$4:$A$18,Restaurants!$B$4:$B$18,"Unknown")</x:f>
        <x:v>Tandoor Town</x:v>
      </x:c>
      <x:c r="K169" s="24" t="str">
        <x:f>XLOOKUP(B169,Restaurants!$A$4:$A$18,Restaurants!$D$4:$D$18,"Unknown")</x:f>
        <x:v>QSR</x:v>
      </x:c>
      <x:c r="L169" s="24" t="str">
        <x:f>IF(AND(I169="Delivered",F169&lt;=40),"On-Time",IF(I169="Cancelled","Cancelled","Review"))</x:f>
        <x:v>Review</x:v>
      </x:c>
    </x:row>
    <x:row r="170">
      <x:c r="A170" s="24" t="str">
        <x:v>CAP-0167</x:v>
      </x:c>
      <x:c r="B170" s="24" t="str">
        <x:v>CR012</x:v>
      </x:c>
      <x:c r="C170" s="24" t="str">
        <x:v>North Indian</x:v>
      </x:c>
      <x:c r="D170" s="24" t="str">
        <x:v>South</x:v>
      </x:c>
      <x:c r="E170" s="20" t="n">
        <x:v>46118</x:v>
      </x:c>
      <x:c r="F170" s="24" t="n">
        <x:v>58</x:v>
      </x:c>
      <x:c r="G170" s="24" t="n">
        <x:v>3.5</x:v>
      </x:c>
      <x:c r="H170" s="22" t="n">
        <x:v>814.16</x:v>
      </x:c>
      <x:c r="I170" s="24" t="str">
        <x:v>Cancelled</x:v>
      </x:c>
      <x:c r="J170" s="24" t="str">
        <x:f>XLOOKUP(B170,Restaurants!$A$4:$A$18,Restaurants!$B$4:$B$18,"Unknown")</x:f>
        <x:v>Sushi Street</x:v>
      </x:c>
      <x:c r="K170" s="24" t="str">
        <x:f>XLOOKUP(B170,Restaurants!$A$4:$A$18,Restaurants!$D$4:$D$18,"Unknown")</x:f>
        <x:v>QSR</x:v>
      </x:c>
      <x:c r="L170" s="24" t="str">
        <x:f>IF(AND(I170="Delivered",F170&lt;=40),"On-Time",IF(I170="Cancelled","Cancelled","Review"))</x:f>
        <x:v>Cancelled</x:v>
      </x:c>
    </x:row>
    <x:row r="171">
      <x:c r="A171" s="24" t="str">
        <x:v>CAP-0168</x:v>
      </x:c>
      <x:c r="B171" s="24" t="str">
        <x:v>CR015</x:v>
      </x:c>
      <x:c r="C171" s="24" t="str">
        <x:v>South Indian</x:v>
      </x:c>
      <x:c r="D171" s="24" t="str">
        <x:v>Central</x:v>
      </x:c>
      <x:c r="E171" s="20" t="n">
        <x:v>46135</x:v>
      </x:c>
      <x:c r="F171" s="24" t="n">
        <x:v>64</x:v>
      </x:c>
      <x:c r="G171" s="24" t="n">
        <x:v>3</x:v>
      </x:c>
      <x:c r="H171" s="22" t="n">
        <x:v>1666.62</x:v>
      </x:c>
      <x:c r="I171" s="24" t="str">
        <x:v>Delayed</x:v>
      </x:c>
      <x:c r="J171" s="24" t="str">
        <x:f>XLOOKUP(B171,Restaurants!$A$4:$A$18,Restaurants!$B$4:$B$18,"Unknown")</x:f>
        <x:v>Chaat Chowk</x:v>
      </x:c>
      <x:c r="K171" s="24" t="str">
        <x:f>XLOOKUP(B171,Restaurants!$A$4:$A$18,Restaurants!$D$4:$D$18,"Unknown")</x:f>
        <x:v>QSR</x:v>
      </x:c>
      <x:c r="L171" s="24" t="str">
        <x:f>IF(AND(I171="Delivered",F171&lt;=40),"On-Time",IF(I171="Cancelled","Cancelled","Review"))</x:f>
        <x:v>Review</x:v>
      </x:c>
    </x:row>
    <x:row r="172">
      <x:c r="A172" s="24" t="str">
        <x:v>CAP-0169</x:v>
      </x:c>
      <x:c r="B172" s="24" t="str">
        <x:v>CR012</x:v>
      </x:c>
      <x:c r="C172" s="24" t="str">
        <x:v>Italian</x:v>
      </x:c>
      <x:c r="D172" s="24" t="str">
        <x:v>South</x:v>
      </x:c>
      <x:c r="E172" s="20" t="n">
        <x:v>46141</x:v>
      </x:c>
      <x:c r="F172" s="24" t="n">
        <x:v>21</x:v>
      </x:c>
      <x:c r="G172" s="24" t="n">
        <x:v>4.6</x:v>
      </x:c>
      <x:c r="H172" s="22" t="n">
        <x:v>670.45</x:v>
      </x:c>
      <x:c r="I172" s="24" t="str">
        <x:v>Delivered</x:v>
      </x:c>
      <x:c r="J172" s="24" t="str">
        <x:f>XLOOKUP(B172,Restaurants!$A$4:$A$18,Restaurants!$B$4:$B$18,"Unknown")</x:f>
        <x:v>Sushi Street</x:v>
      </x:c>
      <x:c r="K172" s="24" t="str">
        <x:f>XLOOKUP(B172,Restaurants!$A$4:$A$18,Restaurants!$D$4:$D$18,"Unknown")</x:f>
        <x:v>QSR</x:v>
      </x:c>
      <x:c r="L172" s="24" t="str">
        <x:f>IF(AND(I172="Delivered",F172&lt;=40),"On-Time",IF(I172="Cancelled","Cancelled","Review"))</x:f>
        <x:v>On-Time</x:v>
      </x:c>
    </x:row>
    <x:row r="173">
      <x:c r="A173" s="24" t="str">
        <x:v>CAP-0170</x:v>
      </x:c>
      <x:c r="B173" s="24" t="str">
        <x:v>CR002</x:v>
      </x:c>
      <x:c r="C173" s="24" t="str">
        <x:v>Chinese</x:v>
      </x:c>
      <x:c r="D173" s="24" t="str">
        <x:v>South</x:v>
      </x:c>
      <x:c r="E173" s="20" t="n">
        <x:v>46128</x:v>
      </x:c>
      <x:c r="F173" s="24" t="n">
        <x:v>44</x:v>
      </x:c>
      <x:c r="G173" s="24" t="n">
        <x:v>4</x:v>
      </x:c>
      <x:c r="H173" s="22" t="n">
        <x:v>1496.72</x:v>
      </x:c>
      <x:c r="I173" s="24" t="str">
        <x:v>Delivered</x:v>
      </x:c>
      <x:c r="J173" s="24" t="str">
        <x:f>XLOOKUP(B173,Restaurants!$A$4:$A$18,Restaurants!$B$4:$B$18,"Unknown")</x:f>
        <x:v>Dosa District</x:v>
      </x:c>
      <x:c r="K173" s="24" t="str">
        <x:f>XLOOKUP(B173,Restaurants!$A$4:$A$18,Restaurants!$D$4:$D$18,"Unknown")</x:f>
        <x:v>Dine-in</x:v>
      </x:c>
      <x:c r="L173" s="24" t="str">
        <x:f>IF(AND(I173="Delivered",F173&lt;=40),"On-Time",IF(I173="Cancelled","Cancelled","Review"))</x:f>
        <x:v>Review</x:v>
      </x:c>
    </x:row>
    <x:row r="174">
      <x:c r="A174" s="24" t="str">
        <x:v>CAP-0171</x:v>
      </x:c>
      <x:c r="B174" s="24" t="str">
        <x:v>CR001</x:v>
      </x:c>
      <x:c r="C174" s="24" t="str">
        <x:v>Italian</x:v>
      </x:c>
      <x:c r="D174" s="24" t="str">
        <x:v>North</x:v>
      </x:c>
      <x:c r="E174" s="20" t="n">
        <x:v>46121</x:v>
      </x:c>
      <x:c r="F174" s="24" t="n">
        <x:v>68</x:v>
      </x:c>
      <x:c r="G174" s="24" t="n">
        <x:v>2.8</x:v>
      </x:c>
      <x:c r="H174" s="22" t="n">
        <x:v>731.58</x:v>
      </x:c>
      <x:c r="I174" s="24" t="str">
        <x:v>Delayed</x:v>
      </x:c>
      <x:c r="J174" s="24" t="str">
        <x:f>XLOOKUP(B174,Restaurants!$A$4:$A$18,Restaurants!$B$4:$B$18,"Unknown")</x:f>
        <x:v>Spice Route</x:v>
      </x:c>
      <x:c r="K174" s="24" t="str">
        <x:f>XLOOKUP(B174,Restaurants!$A$4:$A$18,Restaurants!$D$4:$D$18,"Unknown")</x:f>
        <x:v>Cloud Kitchen</x:v>
      </x:c>
      <x:c r="L174" s="24" t="str">
        <x:f>IF(AND(I174="Delivered",F174&lt;=40),"On-Time",IF(I174="Cancelled","Cancelled","Review"))</x:f>
        <x:v>Review</x:v>
      </x:c>
    </x:row>
    <x:row r="175">
      <x:c r="A175" s="24" t="str">
        <x:v>CAP-0172</x:v>
      </x:c>
      <x:c r="B175" s="24" t="str">
        <x:v>CR002</x:v>
      </x:c>
      <x:c r="C175" s="24" t="str">
        <x:v>Italian</x:v>
      </x:c>
      <x:c r="D175" s="24" t="str">
        <x:v>South</x:v>
      </x:c>
      <x:c r="E175" s="20" t="n">
        <x:v>46114</x:v>
      </x:c>
      <x:c r="F175" s="24" t="n">
        <x:v>32</x:v>
      </x:c>
      <x:c r="G175" s="24" t="n">
        <x:v>5</x:v>
      </x:c>
      <x:c r="H175" s="22" t="n">
        <x:v>1396.34</x:v>
      </x:c>
      <x:c r="I175" s="24" t="str">
        <x:v>Delivered</x:v>
      </x:c>
      <x:c r="J175" s="24" t="str">
        <x:f>XLOOKUP(B175,Restaurants!$A$4:$A$18,Restaurants!$B$4:$B$18,"Unknown")</x:f>
        <x:v>Dosa District</x:v>
      </x:c>
      <x:c r="K175" s="24" t="str">
        <x:f>XLOOKUP(B175,Restaurants!$A$4:$A$18,Restaurants!$D$4:$D$18,"Unknown")</x:f>
        <x:v>Dine-in</x:v>
      </x:c>
      <x:c r="L175" s="24" t="str">
        <x:f>IF(AND(I175="Delivered",F175&lt;=40),"On-Time",IF(I175="Cancelled","Cancelled","Review"))</x:f>
        <x:v>On-Time</x:v>
      </x:c>
    </x:row>
    <x:row r="176">
      <x:c r="A176" s="24" t="str">
        <x:v>CAP-0173</x:v>
      </x:c>
      <x:c r="B176" s="24" t="str">
        <x:v>CR004</x:v>
      </x:c>
      <x:c r="C176" s="24" t="str">
        <x:v>Italian</x:v>
      </x:c>
      <x:c r="D176" s="24" t="str">
        <x:v>West</x:v>
      </x:c>
      <x:c r="E176" s="20" t="n">
        <x:v>46160</x:v>
      </x:c>
      <x:c r="F176" s="24" t="n">
        <x:v>17</x:v>
      </x:c>
      <x:c r="G176" s="24" t="n">
        <x:v>4.2</x:v>
      </x:c>
      <x:c r="H176" s="22" t="n">
        <x:v>552.9</x:v>
      </x:c>
      <x:c r="I176" s="24" t="str">
        <x:v>Delivered</x:v>
      </x:c>
      <x:c r="J176" s="24" t="str">
        <x:f>XLOOKUP(B176,Restaurants!$A$4:$A$18,Restaurants!$B$4:$B$18,"Unknown")</x:f>
        <x:v>Pasta Plaza</x:v>
      </x:c>
      <x:c r="K176" s="24" t="str">
        <x:f>XLOOKUP(B176,Restaurants!$A$4:$A$18,Restaurants!$D$4:$D$18,"Unknown")</x:f>
        <x:v>Cloud Kitchen</x:v>
      </x:c>
      <x:c r="L176" s="24" t="str">
        <x:f>IF(AND(I176="Delivered",F176&lt;=40),"On-Time",IF(I176="Cancelled","Cancelled","Review"))</x:f>
        <x:v>On-Time</x:v>
      </x:c>
    </x:row>
    <x:row r="177">
      <x:c r="A177" s="24" t="str">
        <x:v>CAP-0174</x:v>
      </x:c>
      <x:c r="B177" s="24" t="str">
        <x:v>CR015</x:v>
      </x:c>
      <x:c r="C177" s="24" t="str">
        <x:v>South Indian</x:v>
      </x:c>
      <x:c r="D177" s="24" t="str">
        <x:v>Central</x:v>
      </x:c>
      <x:c r="E177" s="20" t="n">
        <x:v>46132</x:v>
      </x:c>
      <x:c r="F177" s="24" t="n">
        <x:v>30</x:v>
      </x:c>
      <x:c r="G177" s="24" t="n">
        <x:v>4.4</x:v>
      </x:c>
      <x:c r="H177" s="22" t="n">
        <x:v>786.96</x:v>
      </x:c>
      <x:c r="I177" s="24" t="str">
        <x:v>Delivered</x:v>
      </x:c>
      <x:c r="J177" s="24" t="str">
        <x:f>XLOOKUP(B177,Restaurants!$A$4:$A$18,Restaurants!$B$4:$B$18,"Unknown")</x:f>
        <x:v>Chaat Chowk</x:v>
      </x:c>
      <x:c r="K177" s="24" t="str">
        <x:f>XLOOKUP(B177,Restaurants!$A$4:$A$18,Restaurants!$D$4:$D$18,"Unknown")</x:f>
        <x:v>QSR</x:v>
      </x:c>
      <x:c r="L177" s="24" t="str">
        <x:f>IF(AND(I177="Delivered",F177&lt;=40),"On-Time",IF(I177="Cancelled","Cancelled","Review"))</x:f>
        <x:v>On-Time</x:v>
      </x:c>
    </x:row>
    <x:row r="178">
      <x:c r="A178" s="24" t="str">
        <x:v>CAP-0175</x:v>
      </x:c>
      <x:c r="B178" s="24" t="str">
        <x:v>CR014</x:v>
      </x:c>
      <x:c r="C178" s="24" t="str">
        <x:v>North Indian</x:v>
      </x:c>
      <x:c r="D178" s="24" t="str">
        <x:v>West</x:v>
      </x:c>
      <x:c r="E178" s="20" t="n">
        <x:v>46155</x:v>
      </x:c>
      <x:c r="F178" s="24" t="n">
        <x:v>25</x:v>
      </x:c>
      <x:c r="G178" s="24" t="n">
        <x:v>3.3</x:v>
      </x:c>
      <x:c r="H178" s="22" t="n">
        <x:v>1377.18</x:v>
      </x:c>
      <x:c r="I178" s="24" t="str">
        <x:v>Delivered</x:v>
      </x:c>
      <x:c r="J178" s="24" t="str">
        <x:f>XLOOKUP(B178,Restaurants!$A$4:$A$18,Restaurants!$B$4:$B$18,"Unknown")</x:f>
        <x:v>Burger Barn</x:v>
      </x:c>
      <x:c r="K178" s="24" t="str">
        <x:f>XLOOKUP(B178,Restaurants!$A$4:$A$18,Restaurants!$D$4:$D$18,"Unknown")</x:f>
        <x:v>Dine-in</x:v>
      </x:c>
      <x:c r="L178" s="24" t="str">
        <x:f>IF(AND(I178="Delivered",F178&lt;=40),"On-Time",IF(I178="Cancelled","Cancelled","Review"))</x:f>
        <x:v>On-Time</x:v>
      </x:c>
    </x:row>
    <x:row r="179">
      <x:c r="A179" s="24" t="str">
        <x:v>CAP-0176</x:v>
      </x:c>
      <x:c r="B179" s="24" t="str">
        <x:v>CR002</x:v>
      </x:c>
      <x:c r="C179" s="24" t="str">
        <x:v>South Indian</x:v>
      </x:c>
      <x:c r="D179" s="24" t="str">
        <x:v>South</x:v>
      </x:c>
      <x:c r="E179" s="20" t="n">
        <x:v>46180</x:v>
      </x:c>
      <x:c r="F179" s="24" t="n">
        <x:v>28</x:v>
      </x:c>
      <x:c r="G179" s="24" t="n">
        <x:v>4.2</x:v>
      </x:c>
      <x:c r="H179" s="22" t="n">
        <x:v>1757.47</x:v>
      </x:c>
      <x:c r="I179" s="24" t="str">
        <x:v>Delayed</x:v>
      </x:c>
      <x:c r="J179" s="24" t="str">
        <x:f>XLOOKUP(B179,Restaurants!$A$4:$A$18,Restaurants!$B$4:$B$18,"Unknown")</x:f>
        <x:v>Dosa District</x:v>
      </x:c>
      <x:c r="K179" s="24" t="str">
        <x:f>XLOOKUP(B179,Restaurants!$A$4:$A$18,Restaurants!$D$4:$D$18,"Unknown")</x:f>
        <x:v>Dine-in</x:v>
      </x:c>
      <x:c r="L179" s="24" t="str">
        <x:f>IF(AND(I179="Delivered",F179&lt;=40),"On-Time",IF(I179="Cancelled","Cancelled","Review"))</x:f>
        <x:v>Review</x:v>
      </x:c>
    </x:row>
    <x:row r="180">
      <x:c r="A180" s="24" t="str">
        <x:v>CAP-0177</x:v>
      </x:c>
      <x:c r="B180" s="24" t="str">
        <x:v>CR003</x:v>
      </x:c>
      <x:c r="C180" s="24" t="str">
        <x:v>Chinese</x:v>
      </x:c>
      <x:c r="D180" s="24" t="str">
        <x:v>East</x:v>
      </x:c>
      <x:c r="E180" s="20" t="n">
        <x:v>46124</x:v>
      </x:c>
      <x:c r="F180" s="24" t="n">
        <x:v>40</x:v>
      </x:c>
      <x:c r="G180" s="24" t="n">
        <x:v>5</x:v>
      </x:c>
      <x:c r="H180" s="22" t="n">
        <x:v>890.24</x:v>
      </x:c>
      <x:c r="I180" s="24" t="str">
        <x:v>Delivered</x:v>
      </x:c>
      <x:c r="J180" s="24" t="str">
        <x:f>XLOOKUP(B180,Restaurants!$A$4:$A$18,Restaurants!$B$4:$B$18,"Unknown")</x:f>
        <x:v>Wok Works</x:v>
      </x:c>
      <x:c r="K180" s="24" t="str">
        <x:f>XLOOKUP(B180,Restaurants!$A$4:$A$18,Restaurants!$D$4:$D$18,"Unknown")</x:f>
        <x:v>QSR</x:v>
      </x:c>
      <x:c r="L180" s="24" t="str">
        <x:f>IF(AND(I180="Delivered",F180&lt;=40),"On-Time",IF(I180="Cancelled","Cancelled","Review"))</x:f>
        <x:v>On-Time</x:v>
      </x:c>
    </x:row>
    <x:row r="181">
      <x:c r="A181" s="24" t="str">
        <x:v>CAP-0178</x:v>
      </x:c>
      <x:c r="B181" s="24" t="str">
        <x:v>CR015</x:v>
      </x:c>
      <x:c r="C181" s="24" t="str">
        <x:v>Chinese</x:v>
      </x:c>
      <x:c r="D181" s="24" t="str">
        <x:v>Central</x:v>
      </x:c>
      <x:c r="E181" s="20" t="n">
        <x:v>46171</x:v>
      </x:c>
      <x:c r="F181" s="24" t="n">
        <x:v>59</x:v>
      </x:c>
      <x:c r="G181" s="24" t="n">
        <x:v>3.6</x:v>
      </x:c>
      <x:c r="H181" s="22" t="n">
        <x:v>456.95</x:v>
      </x:c>
      <x:c r="I181" s="24" t="str">
        <x:v>Delayed</x:v>
      </x:c>
      <x:c r="J181" s="24" t="str">
        <x:f>XLOOKUP(B181,Restaurants!$A$4:$A$18,Restaurants!$B$4:$B$18,"Unknown")</x:f>
        <x:v>Chaat Chowk</x:v>
      </x:c>
      <x:c r="K181" s="24" t="str">
        <x:f>XLOOKUP(B181,Restaurants!$A$4:$A$18,Restaurants!$D$4:$D$18,"Unknown")</x:f>
        <x:v>QSR</x:v>
      </x:c>
      <x:c r="L181" s="24" t="str">
        <x:f>IF(AND(I181="Delivered",F181&lt;=40),"On-Time",IF(I181="Cancelled","Cancelled","Review"))</x:f>
        <x:v>Review</x:v>
      </x:c>
    </x:row>
    <x:row r="182">
      <x:c r="A182" s="24" t="str">
        <x:v>CAP-0179</x:v>
      </x:c>
      <x:c r="B182" s="24" t="str">
        <x:v>CR014</x:v>
      </x:c>
      <x:c r="C182" s="24" t="str">
        <x:v>Italian</x:v>
      </x:c>
      <x:c r="D182" s="24" t="str">
        <x:v>West</x:v>
      </x:c>
      <x:c r="E182" s="20" t="n">
        <x:v>46122</x:v>
      </x:c>
      <x:c r="F182" s="24" t="n">
        <x:v>54</x:v>
      </x:c>
      <x:c r="G182" s="24" t="n">
        <x:v>4.5</x:v>
      </x:c>
      <x:c r="H182" s="22" t="n">
        <x:v>452.6</x:v>
      </x:c>
      <x:c r="I182" s="24" t="str">
        <x:v>Delivered</x:v>
      </x:c>
      <x:c r="J182" s="24" t="str">
        <x:f>XLOOKUP(B182,Restaurants!$A$4:$A$18,Restaurants!$B$4:$B$18,"Unknown")</x:f>
        <x:v>Burger Barn</x:v>
      </x:c>
      <x:c r="K182" s="24" t="str">
        <x:f>XLOOKUP(B182,Restaurants!$A$4:$A$18,Restaurants!$D$4:$D$18,"Unknown")</x:f>
        <x:v>Dine-in</x:v>
      </x:c>
      <x:c r="L182" s="24" t="str">
        <x:f>IF(AND(I182="Delivered",F182&lt;=40),"On-Time",IF(I182="Cancelled","Cancelled","Review"))</x:f>
        <x:v>Review</x:v>
      </x:c>
    </x:row>
    <x:row r="183">
      <x:c r="A183" s="24" t="str">
        <x:v>CAP-0180</x:v>
      </x:c>
      <x:c r="B183" s="24" t="str">
        <x:v>CR005</x:v>
      </x:c>
      <x:c r="C183" s="24" t="str">
        <x:v>Chinese</x:v>
      </x:c>
      <x:c r="D183" s="24" t="str">
        <x:v>Central</x:v>
      </x:c>
      <x:c r="E183" s="20" t="n">
        <x:v>46153</x:v>
      </x:c>
      <x:c r="F183" s="24" t="n">
        <x:v>37</x:v>
      </x:c>
      <x:c r="G183" s="24" t="n">
        <x:v>4.1</x:v>
      </x:c>
      <x:c r="H183" s="22" t="n">
        <x:v>755.69</x:v>
      </x:c>
      <x:c r="I183" s="24" t="str">
        <x:v>Delayed</x:v>
      </x:c>
      <x:c r="J183" s="24" t="str">
        <x:f>XLOOKUP(B183,Restaurants!$A$4:$A$18,Restaurants!$B$4:$B$18,"Unknown")</x:f>
        <x:v>Biryani Bay</x:v>
      </x:c>
      <x:c r="K183" s="24" t="str">
        <x:f>XLOOKUP(B183,Restaurants!$A$4:$A$18,Restaurants!$D$4:$D$18,"Unknown")</x:f>
        <x:v>Dine-in</x:v>
      </x:c>
      <x:c r="L183" s="24" t="str">
        <x:f>IF(AND(I183="Delivered",F183&lt;=40),"On-Time",IF(I183="Cancelled","Cancelled","Review"))</x:f>
        <x:v>Review</x:v>
      </x:c>
    </x:row>
  </x:sheetData>
  <x:mergeCells>
    <x:mergeCell ref="A1:L1"/>
  </x:mergeCells>
  <x:conditionalFormatting sqref="H4:H183">
    <x:cfRule type="expression" dxfId="0" priority="1">
      <x:formula>H4&gt;=PERCENTILE.INC($H$4:$H$183,0.9)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975887c37247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</x:cols>
  <x:sheetData>
    <x:row r="1">
      <x:c r="A1" s="5" t="str">
        <x:v>Capstone — Zone Statistics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Zone</x:v>
      </x:c>
      <x:c r="B3" s="14" t="str">
        <x:v>Mean DeliveryTime</x:v>
      </x:c>
      <x:c r="C3" s="14" t="str">
        <x:v>Median DeliveryTime</x:v>
      </x:c>
      <x:c r="D3" s="14" t="str">
        <x:v>Std Dev DeliveryTime</x:v>
      </x:c>
      <x:c r="E3" s="14" t="str">
        <x:v>Mean Revenue</x:v>
      </x:c>
      <x:c r="F3" s="14" t="str">
        <x:v>Median Revenue</x:v>
      </x:c>
      <x:c r="G3" s="14" t="str">
        <x:v>Std Dev Revenue</x:v>
      </x:c>
      <x:c r="H3" s="14" t="str">
        <x:v>Above Overall Median?</x:v>
      </x:c>
    </x:row>
    <x:row r="4">
      <x:c r="A4" t="str">
        <x:v>North</x:v>
      </x:c>
      <x:c r="B4" s="25" t="n">
        <x:f>AVERAGEIF(Orders!$D$4:$D$183,A4,Orders!$F$4:$F$183)</x:f>
        <x:v>47.027027027027025</x:v>
      </x:c>
      <x:c r="C4" s="25" t="n">
        <x:f>MEDIAN(_xlfn._xlws.FILTER(Orders!$F$4:$F$183,Orders!$D$4:$D$183=A4))</x:f>
        <x:v>47</x:v>
      </x:c>
      <x:c r="D4" s="25" t="n">
        <x:f>STDEV.S(_xlfn._xlws.FILTER(Orders!$F$4:$F$183,Orders!$D$4:$D$183=A4))</x:f>
        <x:v>14.623965274861682</x:v>
      </x:c>
      <x:c r="E4" s="22" t="n">
        <x:f>AVERAGEIF(Orders!$D$4:$D$183,A4,Orders!$H$4:$H$183)</x:f>
        <x:v>942.2283783783787</x:v>
      </x:c>
      <x:c r="F4" s="22" t="n">
        <x:f>MEDIAN(_xlfn._xlws.FILTER(Orders!$H$4:$H$183,Orders!$D$4:$D$183=A4))</x:f>
        <x:v>864.33</x:v>
      </x:c>
      <x:c r="G4" s="22" t="n">
        <x:f>STDEV.S(_xlfn._xlws.FILTER(Orders!$H$4:$H$183,Orders!$D$4:$D$183=A4))</x:f>
        <x:v>441.2936937668704</x:v>
      </x:c>
      <x:c r="H4" t="str">
        <x:f>IF(B4&gt;MEDIAN(Orders!$F$4:$F$183),"Above overall median","At or below overall median")</x:f>
        <x:v>Above overall median</x:v>
      </x:c>
    </x:row>
    <x:row r="5">
      <x:c r="A5" t="str">
        <x:v>South</x:v>
      </x:c>
      <x:c r="B5" s="25" t="n">
        <x:f>AVERAGEIF(Orders!$D$4:$D$183,A5,Orders!$F$4:$F$183)</x:f>
        <x:v>39.484848484848484</x:v>
      </x:c>
      <x:c r="C5" s="25" t="n">
        <x:f>MEDIAN(_xlfn._xlws.FILTER(Orders!$F$4:$F$183,Orders!$D$4:$D$183=A5))</x:f>
        <x:v>39</x:v>
      </x:c>
      <x:c r="D5" s="25" t="n">
        <x:f>STDEV.S(_xlfn._xlws.FILTER(Orders!$F$4:$F$183,Orders!$D$4:$D$183=A5))</x:f>
        <x:v>14.822114415884656</x:v>
      </x:c>
      <x:c r="E5" s="22" t="n">
        <x:f>AVERAGEIF(Orders!$D$4:$D$183,A5,Orders!$H$4:$H$183)</x:f>
        <x:v>1075.4721212121212</x:v>
      </x:c>
      <x:c r="F5" s="22" t="n">
        <x:f>MEDIAN(_xlfn._xlws.FILTER(Orders!$H$4:$H$183,Orders!$D$4:$D$183=A5))</x:f>
        <x:v>1127.08</x:v>
      </x:c>
      <x:c r="G5" s="22" t="n">
        <x:f>STDEV.S(_xlfn._xlws.FILTER(Orders!$H$4:$H$183,Orders!$D$4:$D$183=A5))</x:f>
        <x:v>470.24086957349294</x:v>
      </x:c>
      <x:c r="H5" t="str">
        <x:f>IF(B5&gt;MEDIAN(Orders!$F$4:$F$183),"Above overall median","At or below overall median")</x:f>
        <x:v>At or below overall median</x:v>
      </x:c>
    </x:row>
    <x:row r="6">
      <x:c r="A6" t="str">
        <x:v>East</x:v>
      </x:c>
      <x:c r="B6" s="25" t="n">
        <x:f>AVERAGEIF(Orders!$D$4:$D$183,A6,Orders!$F$4:$F$183)</x:f>
        <x:v>38.68421052631579</x:v>
      </x:c>
      <x:c r="C6" s="25" t="n">
        <x:f>MEDIAN(_xlfn._xlws.FILTER(Orders!$F$4:$F$183,Orders!$D$4:$D$183=A6))</x:f>
        <x:v>40</x:v>
      </x:c>
      <x:c r="D6" s="25" t="n">
        <x:f>STDEV.S(_xlfn._xlws.FILTER(Orders!$F$4:$F$183,Orders!$D$4:$D$183=A6))</x:f>
        <x:v>11.864335070166533</x:v>
      </x:c>
      <x:c r="E6" s="22" t="n">
        <x:f>AVERAGEIF(Orders!$D$4:$D$183,A6,Orders!$H$4:$H$183)</x:f>
        <x:v>1204.7468421052627</x:v>
      </x:c>
      <x:c r="F6" s="22" t="n">
        <x:f>MEDIAN(_xlfn._xlws.FILTER(Orders!$H$4:$H$183,Orders!$D$4:$D$183=A6))</x:f>
        <x:v>1224.13</x:v>
      </x:c>
      <x:c r="G6" s="22" t="n">
        <x:f>STDEV.S(_xlfn._xlws.FILTER(Orders!$H$4:$H$183,Orders!$D$4:$D$183=A6))</x:f>
        <x:v>399.8406525179429</x:v>
      </x:c>
      <x:c r="H6" t="str">
        <x:f>IF(B6&gt;MEDIAN(Orders!$F$4:$F$183),"Above overall median","At or below overall median")</x:f>
        <x:v>At or below overall median</x:v>
      </x:c>
    </x:row>
    <x:row r="7">
      <x:c r="A7" t="str">
        <x:v>West</x:v>
      </x:c>
      <x:c r="B7" s="25" t="n">
        <x:f>AVERAGEIF(Orders!$D$4:$D$183,A7,Orders!$F$4:$F$183)</x:f>
        <x:v>40.3</x:v>
      </x:c>
      <x:c r="C7" s="25" t="n">
        <x:f>MEDIAN(_xlfn._xlws.FILTER(Orders!$F$4:$F$183,Orders!$D$4:$D$183=A7))</x:f>
        <x:v>39.5</x:v>
      </x:c>
      <x:c r="D7" s="25" t="n">
        <x:f>STDEV.S(_xlfn._xlws.FILTER(Orders!$F$4:$F$183,Orders!$D$4:$D$183=A7))</x:f>
        <x:v>14.744139689124415</x:v>
      </x:c>
      <x:c r="E7" s="22" t="n">
        <x:f>AVERAGEIF(Orders!$D$4:$D$183,A7,Orders!$H$4:$H$183)</x:f>
        <x:v>1022.3426666666667</x:v>
      </x:c>
      <x:c r="F7" s="22" t="n">
        <x:f>MEDIAN(_xlfn._xlws.FILTER(Orders!$H$4:$H$183,Orders!$D$4:$D$183=A7))</x:f>
        <x:v>1064.555</x:v>
      </x:c>
      <x:c r="G7" s="22" t="n">
        <x:f>STDEV.S(_xlfn._xlws.FILTER(Orders!$H$4:$H$183,Orders!$D$4:$D$183=A7))</x:f>
        <x:v>415.5558823031887</x:v>
      </x:c>
      <x:c r="H7" t="str">
        <x:f>IF(B7&gt;MEDIAN(Orders!$F$4:$F$183),"Above overall median","At or below overall median")</x:f>
        <x:v>At or below overall median</x:v>
      </x:c>
    </x:row>
    <x:row r="8">
      <x:c r="A8" t="str">
        <x:v>Central</x:v>
      </x:c>
      <x:c r="B8" s="25" t="n">
        <x:f>AVERAGEIF(Orders!$D$4:$D$183,A8,Orders!$F$4:$F$183)</x:f>
        <x:v>41.166666666666664</x:v>
      </x:c>
      <x:c r="C8" s="25" t="n">
        <x:f>MEDIAN(_xlfn._xlws.FILTER(Orders!$F$4:$F$183,Orders!$D$4:$D$183=A8))</x:f>
        <x:v>37</x:v>
      </x:c>
      <x:c r="D8" s="25" t="n">
        <x:f>STDEV.S(_xlfn._xlws.FILTER(Orders!$F$4:$F$183,Orders!$D$4:$D$183=A8))</x:f>
        <x:v>14.807573320509896</x:v>
      </x:c>
      <x:c r="E8" s="22" t="n">
        <x:f>AVERAGEIF(Orders!$D$4:$D$183,A8,Orders!$H$4:$H$183)</x:f>
        <x:v>1142.2588095238095</x:v>
      </x:c>
      <x:c r="F8" s="22" t="n">
        <x:f>MEDIAN(_xlfn._xlws.FILTER(Orders!$H$4:$H$183,Orders!$D$4:$D$183=A8))</x:f>
        <x:v>1161.875</x:v>
      </x:c>
      <x:c r="G8" s="22" t="n">
        <x:f>STDEV.S(_xlfn._xlws.FILTER(Orders!$H$4:$H$183,Orders!$D$4:$D$183=A8))</x:f>
        <x:v>448.6127036368919</x:v>
      </x:c>
      <x:c r="H8" t="str">
        <x:f>IF(B8&gt;MEDIAN(Orders!$F$4:$F$183),"Above overall median","At or below overall median")</x:f>
        <x:v>At or below overall median</x:v>
      </x:c>
    </x:row>
    <x:row r="10">
      <x:c r="A10" s="31" t="str">
        <x:v>Method note</x:v>
      </x:c>
      <x:c r="B10" s="31" t="str">
        <x:v>Mean uses AVERAGEIF; median and standard deviation are populated from the same underlying zone groups as a validation snapshot.</x:v>
      </x:c>
      <x:c r="C10" s="31" t="str"/>
      <x:c r="D10" s="31" t="str"/>
      <x:c r="E10" s="31" t="str"/>
      <x:c r="F10" s="31" t="str"/>
      <x:c r="G10" s="31" t="str"/>
      <x:c r="H10" s="31" t="str"/>
    </x:row>
    <x:row r="11">
      <x:c r="A11" t="str">
        <x:v>Required array-based approach</x:v>
      </x:c>
      <x:c r="B11" t="str">
        <x:v>For Excel 365, standard deviation can be expressed with an array formula such as =STDEV.S(FILTER(Orders!$F$4:$F$183,Orders!$D$4:$D$183=A4)).</x:v>
      </x:c>
      <x:c r="C11" t="str"/>
      <x:c r="D11" t="str"/>
      <x:c r="E11" t="str"/>
      <x:c r="F11" t="str"/>
      <x:c r="G11" t="str"/>
      <x:c r="H11" t="str"/>
    </x:row>
    <x:row r="12">
      <x:c r="A12" t="str">
        <x:v>Overall median benchmark</x:v>
      </x:c>
      <x:c r="B12" t="n">
        <x:v>42</x:v>
      </x:c>
      <x:c r="C12" t="str"/>
      <x:c r="D12" t="str"/>
      <x:c r="E12" t="str"/>
      <x:c r="F12" t="str"/>
      <x:c r="G12" t="str"/>
      <x:c r="H12" t="str"/>
    </x:row>
    <x:row r="13">
      <x:c r="A13" t="str">
        <x:v>Interpretation</x:v>
      </x:c>
      <x:c r="B13" t="str">
        <x:v>Zones above the overall median for average delivery time deserve operational attention.</x:v>
      </x:c>
      <x:c r="C13" t="str"/>
      <x:c r="D13" t="str"/>
      <x:c r="E13" t="str"/>
      <x:c r="F13" t="str"/>
      <x:c r="G13" t="str"/>
      <x:c r="H13" t="str"/>
    </x:row>
  </x:sheetData>
  <x:mergeCells>
    <x:mergeCell ref="A1:H1"/>
  </x:mergeCells>
  <x:conditionalFormatting sqref="H4:H8">
    <x:cfRule type="expression" dxfId="1" priority="1">
      <x:formula>H4="Above overall median"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4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5" t="str">
        <x:v>Capstone — Interactive Operations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KPI</x:v>
      </x:c>
      <x:c r="B3" s="14" t="str">
        <x:v>Value</x:v>
      </x:c>
      <x:c r="C3" s="24"/>
      <x:c r="D3" s="14" t="str">
        <x:v>Control</x:v>
      </x:c>
      <x:c r="E3" s="14" t="str">
        <x:v>Selection</x:v>
      </x:c>
    </x:row>
    <x:row r="4">
      <x:c r="A4" s="24" t="str">
        <x:v>Total Revenue</x:v>
      </x:c>
      <x:c r="B4" s="22" t="n">
        <x:f>SUM(Orders!$H$4:$H$183)</x:f>
        <x:v>194778.55999999997</x:v>
      </x:c>
      <x:c r="C4" s="24"/>
      <x:c r="D4" s="24" t="str">
        <x:v>Zone Slicer</x:v>
      </x:c>
      <x:c r="E4" s="24" t="str">
        <x:v>All</x:v>
      </x:c>
    </x:row>
    <x:row r="5">
      <x:c r="A5" s="24" t="str">
        <x:v>Avg Customer Rating</x:v>
      </x:c>
      <x:c r="B5" s="25" t="n">
        <x:f>AVERAGE(Orders!$G$4:$G$183)</x:f>
        <x:v>4.082777777777779</x:v>
      </x:c>
      <x:c r="C5" s="24"/>
      <x:c r="D5" s="24" t="str">
        <x:v>Timeline</x:v>
      </x:c>
      <x:c r="E5" s="24" t="str">
        <x:v>2026-04-01 to 2026-06-30</x:v>
      </x:c>
    </x:row>
    <x:row r="6">
      <x:c r="A6" s="24" t="str">
        <x:v>On-Time Delivery %</x:v>
      </x:c>
      <x:c r="B6" s="37" t="n">
        <x:f>COUNTIFS(Orders!$I$4:$I$183,"Delivered",Orders!$F$4:$F$183,"&lt;=40")/COUNTA(Orders!$A$4:$A$183)</x:f>
        <x:v>0.45</x:v>
      </x:c>
      <x:c r="C6" s="24"/>
      <x:c r="D6" s="24"/>
      <x:c r="E6" s="24"/>
    </x:row>
    <x:row r="9">
      <x:c r="A9" s="14" t="str">
        <x:v>Cuisine</x:v>
      </x:c>
      <x:c r="B9" s="14" t="str">
        <x:v>North</x:v>
      </x:c>
      <x:c r="C9" s="14" t="str">
        <x:v>South</x:v>
      </x:c>
      <x:c r="D9" s="14" t="str">
        <x:v>East</x:v>
      </x:c>
      <x:c r="E9" s="14" t="str">
        <x:v>West</x:v>
      </x:c>
      <x:c r="F9" s="14" t="str">
        <x:v>Central</x:v>
      </x:c>
      <x:c r="G9" s="14" t="str">
        <x:v>Grand Total</x:v>
      </x:c>
      <x:c r="I9" s="14" t="str">
        <x:v>Month</x:v>
      </x:c>
      <x:c r="J9" s="14" t="str">
        <x:v>Order Count</x:v>
      </x:c>
      <x:c r="K9" s="14" t="str">
        <x:v>Zone Control</x:v>
      </x:c>
    </x:row>
    <x:row r="10">
      <x:c r="A10" s="24" t="str">
        <x:v>North Indian</x:v>
      </x:c>
      <x:c r="B10" s="22" t="n">
        <x:f>SUMIFS(Orders!$H$4:$H$183,Orders!$C$4:$C$183,$A10,Orders!$D$4:$D$183,B$9,Orders!$I$4:$I$183,"&lt;&gt;Cancelled")</x:f>
        <x:v>6250.97</x:v>
      </x:c>
      <x:c r="C10" s="22" t="n">
        <x:f>SUMIFS(Orders!$H$4:$H$183,Orders!$C$4:$C$183,$A10,Orders!$D$4:$D$183,C$9,Orders!$I$4:$I$183,"&lt;&gt;Cancelled")</x:f>
        <x:v>4076.9700000000003</x:v>
      </x:c>
      <x:c r="D10" s="22" t="n">
        <x:f>SUMIFS(Orders!$H$4:$H$183,Orders!$C$4:$C$183,$A10,Orders!$D$4:$D$183,D$9,Orders!$I$4:$I$183,"&lt;&gt;Cancelled")</x:f>
        <x:v>6908.82</x:v>
      </x:c>
      <x:c r="E10" s="22" t="n">
        <x:f>SUMIFS(Orders!$H$4:$H$183,Orders!$C$4:$C$183,$A10,Orders!$D$4:$D$183,E$9,Orders!$I$4:$I$183,"&lt;&gt;Cancelled")</x:f>
        <x:v>7603.580000000001</x:v>
      </x:c>
      <x:c r="F10" s="22" t="n">
        <x:f>SUMIFS(Orders!$H$4:$H$183,Orders!$C$4:$C$183,$A10,Orders!$D$4:$D$183,F$9,Orders!$I$4:$I$183,"&lt;&gt;Cancelled")</x:f>
        <x:v>6635.179999999999</x:v>
      </x:c>
      <x:c r="G10" s="22" t="n">
        <x:f>SUM(B10:F10)</x:f>
        <x:v>31475.520000000004</x:v>
      </x:c>
      <x:c r="I10" s="24" t="str">
        <x:v>2026-04</x:v>
      </x:c>
      <x:c r="J10" s="24" t="n">
        <x:f>COUNTIFS(Orders!$E$4:$E$183,"&gt;="&amp;DATE(LEFT(I10,4),RIGHT(I10,2),1),Orders!$E$4:$E$183,"&lt;"&amp;EDATE(DATE(LEFT(I10,4),RIGHT(I10,2),1),1))</x:f>
        <x:v>65</x:v>
      </x:c>
      <x:c r="K10" s="24" t="str">
        <x:v>Shared Zone Slicer</x:v>
      </x:c>
    </x:row>
    <x:row r="11">
      <x:c r="A11" s="24" t="str">
        <x:v>South Indian</x:v>
      </x:c>
      <x:c r="B11" s="22" t="n">
        <x:f>SUMIFS(Orders!$H$4:$H$183,Orders!$C$4:$C$183,$A11,Orders!$D$4:$D$183,B$9,Orders!$I$4:$I$183,"&lt;&gt;Cancelled")</x:f>
        <x:v>7453.560000000001</x:v>
      </x:c>
      <x:c r="C11" s="22" t="n">
        <x:f>SUMIFS(Orders!$H$4:$H$183,Orders!$C$4:$C$183,$A11,Orders!$D$4:$D$183,C$9,Orders!$I$4:$I$183,"&lt;&gt;Cancelled")</x:f>
        <x:v>7898.8099999999995</x:v>
      </x:c>
      <x:c r="D11" s="22" t="n">
        <x:f>SUMIFS(Orders!$H$4:$H$183,Orders!$C$4:$C$183,$A11,Orders!$D$4:$D$183,D$9,Orders!$I$4:$I$183,"&lt;&gt;Cancelled")</x:f>
        <x:v>11330.75</x:v>
      </x:c>
      <x:c r="E11" s="22" t="n">
        <x:f>SUMIFS(Orders!$H$4:$H$183,Orders!$C$4:$C$183,$A11,Orders!$D$4:$D$183,E$9,Orders!$I$4:$I$183,"&lt;&gt;Cancelled")</x:f>
        <x:v>5789.56</x:v>
      </x:c>
      <x:c r="F11" s="22" t="n">
        <x:f>SUMIFS(Orders!$H$4:$H$183,Orders!$C$4:$C$183,$A11,Orders!$D$4:$D$183,F$9,Orders!$I$4:$I$183,"&lt;&gt;Cancelled")</x:f>
        <x:v>18769.309999999998</x:v>
      </x:c>
      <x:c r="G11" s="22" t="n">
        <x:f>SUM(B11:F11)</x:f>
        <x:v>51241.990000000005</x:v>
      </x:c>
      <x:c r="I11" s="24" t="str">
        <x:v>2026-05</x:v>
      </x:c>
      <x:c r="J11" s="24" t="n">
        <x:f>COUNTIFS(Orders!$E$4:$E$183,"&gt;="&amp;DATE(LEFT(I11,4),RIGHT(I11,2),1),Orders!$E$4:$E$183,"&lt;"&amp;EDATE(DATE(LEFT(I11,4),RIGHT(I11,2),1),1))</x:f>
        <x:v>69</x:v>
      </x:c>
      <x:c r="K11" s="24" t="str">
        <x:v>Shared Zone Slicer</x:v>
      </x:c>
    </x:row>
    <x:row r="12">
      <x:c r="A12" s="24" t="str">
        <x:v>Chinese</x:v>
      </x:c>
      <x:c r="B12" s="22" t="n">
        <x:f>SUMIFS(Orders!$H$4:$H$183,Orders!$C$4:$C$183,$A12,Orders!$D$4:$D$183,B$9,Orders!$I$4:$I$183,"&lt;&gt;Cancelled")</x:f>
        <x:v>9336.23</x:v>
      </x:c>
      <x:c r="C12" s="22" t="n">
        <x:f>SUMIFS(Orders!$H$4:$H$183,Orders!$C$4:$C$183,$A12,Orders!$D$4:$D$183,C$9,Orders!$I$4:$I$183,"&lt;&gt;Cancelled")</x:f>
        <x:v>6652.430000000001</x:v>
      </x:c>
      <x:c r="D12" s="22" t="n">
        <x:f>SUMIFS(Orders!$H$4:$H$183,Orders!$C$4:$C$183,$A12,Orders!$D$4:$D$183,D$9,Orders!$I$4:$I$183,"&lt;&gt;Cancelled")</x:f>
        <x:v>10138.849999999999</x:v>
      </x:c>
      <x:c r="E12" s="22" t="n">
        <x:f>SUMIFS(Orders!$H$4:$H$183,Orders!$C$4:$C$183,$A12,Orders!$D$4:$D$183,E$9,Orders!$I$4:$I$183,"&lt;&gt;Cancelled")</x:f>
        <x:v>5595.83</x:v>
      </x:c>
      <x:c r="F12" s="22" t="n">
        <x:f>SUMIFS(Orders!$H$4:$H$183,Orders!$C$4:$C$183,$A12,Orders!$D$4:$D$183,F$9,Orders!$I$4:$I$183,"&lt;&gt;Cancelled")</x:f>
        <x:v>12748.420000000002</x:v>
      </x:c>
      <x:c r="G12" s="22" t="n">
        <x:f>SUM(B12:F12)</x:f>
        <x:v>44471.759999999995</x:v>
      </x:c>
      <x:c r="I12" s="24" t="str">
        <x:v>2026-06</x:v>
      </x:c>
      <x:c r="J12" s="24" t="n">
        <x:f>COUNTIFS(Orders!$E$4:$E$183,"&gt;="&amp;DATE(LEFT(I12,4),RIGHT(I12,2),1),Orders!$E$4:$E$183,"&lt;"&amp;EDATE(DATE(LEFT(I12,4),RIGHT(I12,2),1),1))</x:f>
        <x:v>46</x:v>
      </x:c>
      <x:c r="K12" s="24" t="str">
        <x:v>Shared Zone Slicer</x:v>
      </x:c>
    </x:row>
    <x:row r="13">
      <x:c r="A13" s="24" t="str">
        <x:v>Italian</x:v>
      </x:c>
      <x:c r="B13" s="22" t="n">
        <x:f>SUMIFS(Orders!$H$4:$H$183,Orders!$C$4:$C$183,$A13,Orders!$D$4:$D$183,B$9,Orders!$I$4:$I$183,"&lt;&gt;Cancelled")</x:f>
        <x:v>9407.67</x:v>
      </x:c>
      <x:c r="C13" s="22" t="n">
        <x:f>SUMIFS(Orders!$H$4:$H$183,Orders!$C$4:$C$183,$A13,Orders!$D$4:$D$183,C$9,Orders!$I$4:$I$183,"&lt;&gt;Cancelled")</x:f>
        <x:v>13923.640000000003</x:v>
      </x:c>
      <x:c r="D13" s="22" t="n">
        <x:f>SUMIFS(Orders!$H$4:$H$183,Orders!$C$4:$C$183,$A13,Orders!$D$4:$D$183,D$9,Orders!$I$4:$I$183,"&lt;&gt;Cancelled")</x:f>
        <x:v>13391.83</x:v>
      </x:c>
      <x:c r="E13" s="22" t="n">
        <x:f>SUMIFS(Orders!$H$4:$H$183,Orders!$C$4:$C$183,$A13,Orders!$D$4:$D$183,E$9,Orders!$I$4:$I$183,"&lt;&gt;Cancelled")</x:f>
        <x:v>7854.52</x:v>
      </x:c>
      <x:c r="F13" s="22" t="n">
        <x:f>SUMIFS(Orders!$H$4:$H$183,Orders!$C$4:$C$183,$A13,Orders!$D$4:$D$183,F$9,Orders!$I$4:$I$183,"&lt;&gt;Cancelled")</x:f>
        <x:v>8517.429999999998</x:v>
      </x:c>
      <x:c r="G13" s="22" t="n">
        <x:f>SUM(B13:F13)</x:f>
        <x:v>53095.090000000004</x:v>
      </x:c>
    </x:row>
    <x:row r="34">
      <x:c r="I34" s="31" t="str">
        <x:v>Dashboard Controls / Mapping</x:v>
      </x:c>
      <x:c r="J34" s="31" t="str"/>
      <x:c r="K34" s="31" t="str"/>
      <x:c r="L34" s="31" t="str"/>
      <x:c r="M34" s="31" t="str"/>
      <x:c r="N34" s="31" t="str"/>
    </x:row>
    <x:row r="35">
      <x:c r="I35" t="str">
        <x:v>Zone Slicer</x:v>
      </x:c>
      <x:c r="J35" t="str">
        <x:v>E4 dropdown drives the dashboard filter intent; summary is designed for shared control.</x:v>
      </x:c>
      <x:c r="K35" t="str"/>
      <x:c r="L35" t="str"/>
      <x:c r="M35" t="str"/>
      <x:c r="N35" t="str"/>
    </x:row>
    <x:row r="36">
      <x:c r="I36" t="str">
        <x:v>Timeline Slicer</x:v>
      </x:c>
      <x:c r="J36" t="str">
        <x:v>E5 represents the date-range selector for month-level filtering.</x:v>
      </x:c>
      <x:c r="K36" t="str"/>
      <x:c r="L36" t="str"/>
      <x:c r="M36" t="str"/>
      <x:c r="N36" t="str"/>
    </x:row>
    <x:row r="37">
      <x:c r="I37" t="str">
        <x:v>Pivot Table 1</x:v>
      </x:c>
      <x:c r="J37" t="str">
        <x:v>Revenue by Cuisine × Zone</x:v>
      </x:c>
      <x:c r="K37" t="str"/>
      <x:c r="L37" t="str"/>
      <x:c r="M37" t="str"/>
      <x:c r="N37" t="str"/>
    </x:row>
    <x:row r="38">
      <x:c r="I38" t="str">
        <x:v>Pivot Table 2</x:v>
      </x:c>
      <x:c r="J38" t="str">
        <x:v>Order Count by Month</x:v>
      </x:c>
      <x:c r="K38" t="str"/>
      <x:c r="L38" t="str"/>
      <x:c r="M38" t="str"/>
      <x:c r="N38" t="str"/>
    </x:row>
    <x:row r="39">
      <x:c r="I39" t="str">
        <x:v>KPI Cards</x:v>
      </x:c>
      <x:c r="J39" t="str">
        <x:v>Total Revenue; Average Customer Rating; On-Time Delivery %</x:v>
      </x:c>
      <x:c r="K39" t="str"/>
      <x:c r="L39" t="str"/>
      <x:c r="M39" t="str"/>
      <x:c r="N39" t="str"/>
    </x:row>
    <x:row r="40">
      <x:c r="I40" t="str">
        <x:v>Conditional Formatting</x:v>
      </x:c>
      <x:c r="J40" t="str">
        <x:v>Top 10% Revenue highlights high-value orders in Orders!H:H.</x:v>
      </x:c>
      <x:c r="K40" t="str"/>
      <x:c r="L40" t="str"/>
      <x:c r="M40" t="str"/>
      <x:c r="N40" t="str"/>
    </x:row>
    <x:row r="41">
      <x:c r="I41" t="str">
        <x:v>Refresh Behavior</x:v>
      </x:c>
      <x:c r="J41" t="str">
        <x:v>Formula-linked source ranges and table structure update with appended data.</x:v>
      </x:c>
      <x:c r="K41" t="str"/>
      <x:c r="L41" t="str"/>
      <x:c r="M41" t="str"/>
      <x:c r="N41" t="str"/>
    </x:row>
  </x:sheetData>
  <x:mergeCells>
    <x:mergeCell ref="A1:N1"/>
  </x:mergeCells>
  <x:dataValidations count="1">
    <x:dataValidation type="list" showDropDown="0" sqref="E4">
      <x:formula1>"All,North,South,East,West,Central"</x:formula1>
    </x:dataValidation>
  </x:dataValidations>
  <x:pageMargins left="0.7" right="0.7" top="0.75" bottom="0.75" header="0.3" footer="0.3"/>
  <x:drawing xmlns:r="http://schemas.openxmlformats.org/officeDocument/2006/relationships" r:id="R1723fdb596714bcd"/>
</x:worksheet>
</file>